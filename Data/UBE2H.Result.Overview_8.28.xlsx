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caduto/Documents/Klaske/Klaske/Digital lab notebook/Hit Gene follow up/UBE2H/Seahorse/HCT116 2026.08.28/"/>
    </mc:Choice>
  </mc:AlternateContent>
  <xr:revisionPtr revIDLastSave="0" documentId="13_ncr:1_{78C03D7F-0D57-9749-B587-27E0052B4C8A}" xr6:coauthVersionLast="47" xr6:coauthVersionMax="47" xr10:uidLastSave="{00000000-0000-0000-0000-000000000000}"/>
  <bookViews>
    <workbookView xWindow="2160" yWindow="2180" windowWidth="27240" windowHeight="16440" xr2:uid="{2C859C38-5BDB-824C-91D0-FE2877F74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N15" i="1"/>
  <c r="O23" i="1"/>
  <c r="N23" i="1"/>
  <c r="O33" i="1"/>
  <c r="N33" i="1"/>
  <c r="O41" i="1"/>
  <c r="N41" i="1"/>
  <c r="O51" i="1"/>
  <c r="N51" i="1"/>
  <c r="O59" i="1"/>
  <c r="N59" i="1"/>
  <c r="O67" i="1"/>
  <c r="N67" i="1"/>
  <c r="O77" i="1"/>
  <c r="N77" i="1"/>
  <c r="N90" i="1"/>
  <c r="N85" i="1"/>
  <c r="O85" i="1"/>
  <c r="O93" i="1"/>
  <c r="N91" i="1"/>
  <c r="O91" i="1"/>
  <c r="N92" i="1"/>
  <c r="O92" i="1"/>
  <c r="N93" i="1"/>
  <c r="O90" i="1"/>
  <c r="N83" i="1"/>
  <c r="O83" i="1"/>
  <c r="N84" i="1"/>
  <c r="O84" i="1"/>
  <c r="O82" i="1"/>
  <c r="N82" i="1"/>
  <c r="O74" i="1"/>
  <c r="O75" i="1"/>
  <c r="O76" i="1"/>
  <c r="O73" i="1"/>
  <c r="N73" i="1"/>
  <c r="N65" i="1"/>
  <c r="O65" i="1"/>
  <c r="N66" i="1"/>
  <c r="O66" i="1"/>
  <c r="O64" i="1"/>
  <c r="N64" i="1"/>
  <c r="N57" i="1"/>
  <c r="N58" i="1"/>
  <c r="N56" i="1"/>
  <c r="O57" i="1"/>
  <c r="O58" i="1"/>
  <c r="O56" i="1"/>
  <c r="O48" i="1"/>
  <c r="O49" i="1"/>
  <c r="O50" i="1"/>
  <c r="O47" i="1"/>
  <c r="O39" i="1"/>
  <c r="O40" i="1"/>
  <c r="O38" i="1"/>
  <c r="O30" i="1"/>
  <c r="O21" i="1"/>
  <c r="O9" i="1"/>
  <c r="O31" i="1"/>
  <c r="O32" i="1"/>
  <c r="O29" i="1"/>
  <c r="O22" i="1"/>
  <c r="O20" i="1"/>
  <c r="N20" i="1"/>
  <c r="N9" i="1"/>
  <c r="N76" i="1"/>
  <c r="N75" i="1"/>
  <c r="N74" i="1"/>
  <c r="N50" i="1"/>
  <c r="N49" i="1"/>
  <c r="N48" i="1"/>
  <c r="N47" i="1"/>
  <c r="N40" i="1"/>
  <c r="N39" i="1"/>
  <c r="N38" i="1"/>
  <c r="N32" i="1"/>
  <c r="N31" i="1"/>
  <c r="N30" i="1"/>
  <c r="N29" i="1"/>
  <c r="N22" i="1"/>
  <c r="N21" i="1"/>
  <c r="O14" i="1"/>
  <c r="N14" i="1"/>
  <c r="O13" i="1"/>
  <c r="N13" i="1"/>
  <c r="O12" i="1"/>
  <c r="N12" i="1"/>
  <c r="O11" i="1"/>
  <c r="N11" i="1"/>
  <c r="O10" i="1"/>
  <c r="N10" i="1"/>
</calcChain>
</file>

<file path=xl/sharedStrings.xml><?xml version="1.0" encoding="utf-8"?>
<sst xmlns="http://schemas.openxmlformats.org/spreadsheetml/2006/main" count="291" uniqueCount="130">
  <si>
    <t>Group Name</t>
  </si>
  <si>
    <t>Assay Wells</t>
  </si>
  <si>
    <t>Non-Mitochondrial Oxygen Consumption</t>
  </si>
  <si>
    <t>Basal Respiration</t>
  </si>
  <si>
    <t>Maximal Respiration</t>
  </si>
  <si>
    <t>Proton Leak</t>
  </si>
  <si>
    <t>ATP Production</t>
  </si>
  <si>
    <t>Spare Respiratory Capacity</t>
  </si>
  <si>
    <t>Spare Respiratory Capacity as a %</t>
  </si>
  <si>
    <t>Coupling Efficiency</t>
  </si>
  <si>
    <t>Acute Response</t>
  </si>
  <si>
    <t>WT</t>
  </si>
  <si>
    <t>A02</t>
  </si>
  <si>
    <t>B01</t>
  </si>
  <si>
    <t>B02</t>
  </si>
  <si>
    <t>C01</t>
  </si>
  <si>
    <t>C02</t>
  </si>
  <si>
    <t>D01</t>
  </si>
  <si>
    <t>D02</t>
  </si>
  <si>
    <t>WT + AZ</t>
  </si>
  <si>
    <t>E01</t>
  </si>
  <si>
    <t>E02</t>
  </si>
  <si>
    <t>F01</t>
  </si>
  <si>
    <t>F02</t>
  </si>
  <si>
    <t>G01</t>
  </si>
  <si>
    <t>G02</t>
  </si>
  <si>
    <t>H02</t>
  </si>
  <si>
    <t>OE</t>
  </si>
  <si>
    <t>A03</t>
  </si>
  <si>
    <t>B03</t>
  </si>
  <si>
    <t>C03</t>
  </si>
  <si>
    <t>D03</t>
  </si>
  <si>
    <t>OE + AZ</t>
  </si>
  <si>
    <t>E03</t>
  </si>
  <si>
    <t>F03</t>
  </si>
  <si>
    <t>G03</t>
  </si>
  <si>
    <t>H03</t>
  </si>
  <si>
    <t>KO1</t>
  </si>
  <si>
    <t>A04</t>
  </si>
  <si>
    <t>B04</t>
  </si>
  <si>
    <t>B12</t>
  </si>
  <si>
    <t>C04</t>
  </si>
  <si>
    <t>D04</t>
  </si>
  <si>
    <t>KO1 + AZ</t>
  </si>
  <si>
    <t>E04</t>
  </si>
  <si>
    <t>E12</t>
  </si>
  <si>
    <t>F04</t>
  </si>
  <si>
    <t>G04</t>
  </si>
  <si>
    <t>H04</t>
  </si>
  <si>
    <t>KO1 OE1</t>
  </si>
  <si>
    <t>A07</t>
  </si>
  <si>
    <t>B07</t>
  </si>
  <si>
    <t>C07</t>
  </si>
  <si>
    <t>D07</t>
  </si>
  <si>
    <t>KO1 OE1 + AZ</t>
  </si>
  <si>
    <t>E07</t>
  </si>
  <si>
    <t>F07</t>
  </si>
  <si>
    <t>G07</t>
  </si>
  <si>
    <t>H07</t>
  </si>
  <si>
    <t>KO2</t>
  </si>
  <si>
    <t>A05</t>
  </si>
  <si>
    <t>B05</t>
  </si>
  <si>
    <t>C05</t>
  </si>
  <si>
    <t>C12</t>
  </si>
  <si>
    <t>D05</t>
  </si>
  <si>
    <t>KO2 + AZ</t>
  </si>
  <si>
    <t>E05</t>
  </si>
  <si>
    <t>F05</t>
  </si>
  <si>
    <t>F12</t>
  </si>
  <si>
    <t>G05</t>
  </si>
  <si>
    <t>H05</t>
  </si>
  <si>
    <t>KO2 OE1</t>
  </si>
  <si>
    <t>A08</t>
  </si>
  <si>
    <t>B08</t>
  </si>
  <si>
    <t>C08</t>
  </si>
  <si>
    <t>D08</t>
  </si>
  <si>
    <t>KO2 OE1 + AZ</t>
  </si>
  <si>
    <t>E08</t>
  </si>
  <si>
    <t>F08</t>
  </si>
  <si>
    <t>G08</t>
  </si>
  <si>
    <t>H08</t>
  </si>
  <si>
    <t>KO2 OE2</t>
  </si>
  <si>
    <t>A09</t>
  </si>
  <si>
    <t>B09</t>
  </si>
  <si>
    <t>C09</t>
  </si>
  <si>
    <t>D09</t>
  </si>
  <si>
    <t>KO2 OE2 + AZ</t>
  </si>
  <si>
    <t>E09</t>
  </si>
  <si>
    <t>F09</t>
  </si>
  <si>
    <t>G09</t>
  </si>
  <si>
    <t>H09</t>
  </si>
  <si>
    <t>KO3</t>
  </si>
  <si>
    <t>A06</t>
  </si>
  <si>
    <t>B06</t>
  </si>
  <si>
    <t>C06</t>
  </si>
  <si>
    <t>D06</t>
  </si>
  <si>
    <t>D12</t>
  </si>
  <si>
    <t>KO3  + AZ</t>
  </si>
  <si>
    <t>E06</t>
  </si>
  <si>
    <t>F06</t>
  </si>
  <si>
    <t>G06</t>
  </si>
  <si>
    <t>G12</t>
  </si>
  <si>
    <t>H06</t>
  </si>
  <si>
    <t>KO3 OE2</t>
  </si>
  <si>
    <t>A10</t>
  </si>
  <si>
    <t>B10</t>
  </si>
  <si>
    <t>C10</t>
  </si>
  <si>
    <t>D10</t>
  </si>
  <si>
    <t>KO3 OE2 + AZ</t>
  </si>
  <si>
    <t>E10</t>
  </si>
  <si>
    <t>F10</t>
  </si>
  <si>
    <t>G10</t>
  </si>
  <si>
    <t>H10</t>
  </si>
  <si>
    <t>KO3 OE5</t>
  </si>
  <si>
    <t>A11</t>
  </si>
  <si>
    <t>B11</t>
  </si>
  <si>
    <t>C11</t>
  </si>
  <si>
    <t>D11</t>
  </si>
  <si>
    <t>KO3 OE5 + AZ</t>
  </si>
  <si>
    <t>E11</t>
  </si>
  <si>
    <t>F11</t>
  </si>
  <si>
    <t>G11</t>
  </si>
  <si>
    <t>H11</t>
  </si>
  <si>
    <t>High</t>
  </si>
  <si>
    <t>Low</t>
  </si>
  <si>
    <t>AZ3146</t>
  </si>
  <si>
    <t>AZ.ATP.Diff</t>
  </si>
  <si>
    <t>AZ.Basal.Diff</t>
  </si>
  <si>
    <t>CellCoverage</t>
  </si>
  <si>
    <t>VeryLow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</si>
</sst>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0.00%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/>
    <xf numFmtId="0" fontId="3" fillId="0" borderId="11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49" fontId="2" fillId="0" borderId="5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4457-8C8B-9245-BF97-F15BACD96CAC}">
  <dimension ref="A1:O94"/>
  <sheetViews>
    <sheetView tabSelected="1" topLeftCell="B1" workbookViewId="0">
      <selection activeCell="E5" sqref="E5"/>
    </sheetView>
  </sheetViews>
  <sheetFormatPr baseColWidth="10" defaultColWidth="8.83203125" defaultRowHeight="16" x14ac:dyDescent="0.2"/>
  <cols>
    <col min="1" max="1" width="16.6640625" customWidth="1"/>
    <col min="2" max="2" width="12" customWidth="1"/>
    <col min="3" max="3" width="23" customWidth="1"/>
    <col min="4" max="5" width="16.5" customWidth="1"/>
    <col min="6" max="6" width="14.33203125" customWidth="1"/>
    <col min="7" max="7" width="17.1640625" customWidth="1"/>
    <col min="8" max="8" width="19" customWidth="1"/>
    <col min="9" max="9" width="21.83203125" customWidth="1"/>
    <col min="10" max="10" width="16.1640625" customWidth="1"/>
    <col min="11" max="11" width="14.33203125" customWidth="1"/>
  </cols>
  <sheetData>
    <row r="1" spans="1:15" ht="35" thickBot="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6" t="s">
        <v>128</v>
      </c>
      <c r="M1" s="16" t="s">
        <v>125</v>
      </c>
      <c r="N1" s="16" t="s">
        <v>126</v>
      </c>
      <c r="O1" s="16" t="s">
        <v>127</v>
      </c>
    </row>
    <row r="2" spans="1:15" ht="19" customHeight="1" thickBot="1" x14ac:dyDescent="0.3">
      <c r="A2" s="17" t="s">
        <v>11</v>
      </c>
      <c r="B2" s="5" t="s">
        <v>12</v>
      </c>
      <c r="C2" s="6">
        <v>1.3763332366943359</v>
      </c>
      <c r="D2" s="7">
        <v>6.7179341316223145</v>
      </c>
      <c r="E2" s="7">
        <v>7.6274819374084473</v>
      </c>
      <c r="F2" s="7">
        <v>1.0025432109832764</v>
      </c>
      <c r="G2" s="7">
        <v>5.7153911590576172</v>
      </c>
      <c r="H2" s="7">
        <v>0.90954780578613281</v>
      </c>
      <c r="I2" s="8">
        <v>1.1353909969329834</v>
      </c>
      <c r="J2" s="8">
        <v>0.85076618194580078</v>
      </c>
      <c r="K2" s="9"/>
      <c r="L2" t="s">
        <v>129</v>
      </c>
      <c r="M2" s="10">
        <v>0</v>
      </c>
      <c r="N2">
        <v>0</v>
      </c>
      <c r="O2">
        <v>0</v>
      </c>
    </row>
    <row r="3" spans="1:15" ht="23" thickBot="1" x14ac:dyDescent="0.25">
      <c r="A3" s="17" t="s">
        <v>11</v>
      </c>
      <c r="B3" s="5" t="s">
        <v>13</v>
      </c>
      <c r="C3" s="6">
        <v>1.0489555597305298</v>
      </c>
      <c r="D3" s="7">
        <v>5.438260555267334</v>
      </c>
      <c r="E3" s="7">
        <v>6.8157410621643066</v>
      </c>
      <c r="F3" s="7">
        <v>0.95456528663635254</v>
      </c>
      <c r="G3" s="7">
        <v>4.4836950302124023</v>
      </c>
      <c r="H3" s="7">
        <v>1.3774805068969727</v>
      </c>
      <c r="I3" s="8">
        <v>1.2532943487167358</v>
      </c>
      <c r="J3" s="8">
        <v>0.82447224855422974</v>
      </c>
      <c r="K3" s="9"/>
      <c r="L3" t="s">
        <v>123</v>
      </c>
      <c r="M3">
        <v>0</v>
      </c>
      <c r="N3">
        <v>0</v>
      </c>
      <c r="O3">
        <v>0</v>
      </c>
    </row>
    <row r="4" spans="1:15" ht="23" thickBot="1" x14ac:dyDescent="0.25">
      <c r="A4" s="17" t="s">
        <v>11</v>
      </c>
      <c r="B4" s="5" t="s">
        <v>14</v>
      </c>
      <c r="C4" s="6">
        <v>0.98928570747375488</v>
      </c>
      <c r="D4" s="7">
        <v>4.9295639991760254</v>
      </c>
      <c r="E4" s="7">
        <v>4.6392526626586914</v>
      </c>
      <c r="F4" s="7">
        <v>0.88997244834899902</v>
      </c>
      <c r="G4" s="7">
        <v>4.0395917892456055</v>
      </c>
      <c r="H4" s="7">
        <v>-0.29031133651733398</v>
      </c>
      <c r="I4" s="8">
        <v>0.9411081075668335</v>
      </c>
      <c r="J4" s="8">
        <v>0.81946229934692383</v>
      </c>
      <c r="K4" s="9"/>
      <c r="L4" t="s">
        <v>124</v>
      </c>
      <c r="M4">
        <v>0</v>
      </c>
      <c r="N4">
        <v>0</v>
      </c>
      <c r="O4">
        <v>0</v>
      </c>
    </row>
    <row r="5" spans="1:15" ht="23" thickBot="1" x14ac:dyDescent="0.25">
      <c r="A5" s="17" t="s">
        <v>11</v>
      </c>
      <c r="B5" s="5" t="s">
        <v>15</v>
      </c>
      <c r="C5" s="6">
        <v>0.99040883779525757</v>
      </c>
      <c r="D5" s="7">
        <v>5.3296909332275391</v>
      </c>
      <c r="E5" s="7">
        <v>4.200261116027832</v>
      </c>
      <c r="F5" s="7">
        <v>1.0476223230361938</v>
      </c>
      <c r="G5" s="7">
        <v>4.2820687294006348</v>
      </c>
      <c r="H5" s="7">
        <v>-1.129429817199707</v>
      </c>
      <c r="I5" s="8">
        <v>0.78808718919754028</v>
      </c>
      <c r="J5" s="8">
        <v>0.80343657732009888</v>
      </c>
      <c r="K5" s="9"/>
      <c r="L5" t="s">
        <v>123</v>
      </c>
      <c r="M5">
        <v>0</v>
      </c>
      <c r="N5">
        <v>0</v>
      </c>
      <c r="O5">
        <v>0</v>
      </c>
    </row>
    <row r="6" spans="1:15" ht="23" thickBot="1" x14ac:dyDescent="0.25">
      <c r="A6" s="17" t="s">
        <v>11</v>
      </c>
      <c r="B6" s="5" t="s">
        <v>16</v>
      </c>
      <c r="C6" s="6">
        <v>1.1381093263626099</v>
      </c>
      <c r="D6" s="7">
        <v>5.2241911888122559</v>
      </c>
      <c r="E6" s="7">
        <v>6.070155143737793</v>
      </c>
      <c r="F6" s="7">
        <v>1.0573288202285767</v>
      </c>
      <c r="G6" s="7">
        <v>4.1668624877929688</v>
      </c>
      <c r="H6" s="7">
        <v>0.84596395492553711</v>
      </c>
      <c r="I6" s="8">
        <v>1.1619319915771484</v>
      </c>
      <c r="J6" s="8">
        <v>0.79760909080505371</v>
      </c>
      <c r="K6" s="9"/>
      <c r="L6" t="s">
        <v>124</v>
      </c>
      <c r="M6">
        <v>0</v>
      </c>
      <c r="N6">
        <v>0</v>
      </c>
      <c r="O6">
        <v>0</v>
      </c>
    </row>
    <row r="7" spans="1:15" ht="23" thickBot="1" x14ac:dyDescent="0.25">
      <c r="A7" s="17" t="s">
        <v>11</v>
      </c>
      <c r="B7" s="5" t="s">
        <v>17</v>
      </c>
      <c r="C7" s="6">
        <v>1.1228704452514648</v>
      </c>
      <c r="D7" s="7">
        <v>5.356022834777832</v>
      </c>
      <c r="E7" s="7">
        <v>3.5433793067932129</v>
      </c>
      <c r="F7" s="7">
        <v>1.1244937181472778</v>
      </c>
      <c r="G7" s="7">
        <v>4.2315292358398438</v>
      </c>
      <c r="H7" s="7">
        <v>-1.8126435279846191</v>
      </c>
      <c r="I7" s="8">
        <v>0.66156911849975586</v>
      </c>
      <c r="J7" s="8">
        <v>0.79005062580108643</v>
      </c>
      <c r="K7" s="9"/>
      <c r="L7" t="s">
        <v>123</v>
      </c>
      <c r="M7">
        <v>0</v>
      </c>
      <c r="N7">
        <v>0</v>
      </c>
      <c r="O7">
        <v>0</v>
      </c>
    </row>
    <row r="8" spans="1:15" ht="23" thickBot="1" x14ac:dyDescent="0.25">
      <c r="A8" s="17" t="s">
        <v>11</v>
      </c>
      <c r="B8" s="11" t="s">
        <v>18</v>
      </c>
      <c r="C8" s="12">
        <v>1.3927708864212036</v>
      </c>
      <c r="D8" s="13">
        <v>5.3294472694396973</v>
      </c>
      <c r="E8" s="13">
        <v>5.4166364669799805</v>
      </c>
      <c r="F8" s="13">
        <v>1.4621497392654419</v>
      </c>
      <c r="G8" s="13">
        <v>3.8672976493835449</v>
      </c>
      <c r="H8" s="13">
        <v>8.7189197540283203E-2</v>
      </c>
      <c r="I8" s="14">
        <v>1.0163599252700806</v>
      </c>
      <c r="J8" s="14">
        <v>0.72564703226089478</v>
      </c>
      <c r="K8" s="15"/>
      <c r="L8" t="s">
        <v>129</v>
      </c>
      <c r="M8">
        <v>0</v>
      </c>
      <c r="N8">
        <v>0</v>
      </c>
      <c r="O8">
        <v>0</v>
      </c>
    </row>
    <row r="9" spans="1:15" ht="19" customHeight="1" thickBot="1" x14ac:dyDescent="0.3">
      <c r="A9" s="18" t="s">
        <v>19</v>
      </c>
      <c r="B9" s="5" t="s">
        <v>20</v>
      </c>
      <c r="C9" s="6">
        <v>1.1696743965148926</v>
      </c>
      <c r="D9" s="7">
        <v>5.6057257652282715</v>
      </c>
      <c r="E9" s="7">
        <v>7.3927345275878906</v>
      </c>
      <c r="F9" s="7">
        <v>1.1089035272598267</v>
      </c>
      <c r="G9" s="7">
        <v>4.4968223571777344</v>
      </c>
      <c r="H9" s="7">
        <v>1.7870087623596191</v>
      </c>
      <c r="I9" s="8">
        <v>1.3187828063964844</v>
      </c>
      <c r="J9" s="8">
        <v>0.80218380689620972</v>
      </c>
      <c r="K9" s="9"/>
      <c r="L9" t="s">
        <v>123</v>
      </c>
      <c r="M9" s="10">
        <v>1</v>
      </c>
      <c r="N9" s="19">
        <f>G9/AVERAGE(G$2:G$8)</f>
        <v>1.0224553572064707</v>
      </c>
      <c r="O9" s="19">
        <f>D9/AVERAGE(D$2:D$8)</f>
        <v>1.0238738890115175</v>
      </c>
    </row>
    <row r="10" spans="1:15" ht="22" thickBot="1" x14ac:dyDescent="0.25">
      <c r="A10" s="18" t="s">
        <v>19</v>
      </c>
      <c r="B10" s="5" t="s">
        <v>21</v>
      </c>
      <c r="C10" s="6">
        <v>1.1742410659790039</v>
      </c>
      <c r="D10" s="7">
        <v>5.279444694519043</v>
      </c>
      <c r="E10" s="7">
        <v>6.809471607208252</v>
      </c>
      <c r="F10" s="7">
        <v>1.0506737232208252</v>
      </c>
      <c r="G10" s="7">
        <v>4.2287712097167969</v>
      </c>
      <c r="H10" s="7">
        <v>1.530026912689209</v>
      </c>
      <c r="I10" s="8">
        <v>1.2898082733154297</v>
      </c>
      <c r="J10" s="8">
        <v>0.80098789930343628</v>
      </c>
      <c r="K10" s="9"/>
      <c r="L10" t="s">
        <v>129</v>
      </c>
      <c r="M10">
        <v>1</v>
      </c>
      <c r="N10" s="19">
        <f t="shared" ref="N10:N14" si="0">G10/AVERAGE(G$2:G$8)</f>
        <v>0.96150780136421876</v>
      </c>
      <c r="O10" s="19">
        <f t="shared" ref="O10:O14" si="1">D10/AVERAGE(D$2:D$8)</f>
        <v>0.96427934536649929</v>
      </c>
    </row>
    <row r="11" spans="1:15" ht="22" thickBot="1" x14ac:dyDescent="0.25">
      <c r="A11" s="18" t="s">
        <v>19</v>
      </c>
      <c r="B11" s="5" t="s">
        <v>22</v>
      </c>
      <c r="C11" s="6">
        <v>1.1990597248077393</v>
      </c>
      <c r="D11" s="7">
        <v>5.5419135093688965</v>
      </c>
      <c r="E11" s="7">
        <v>8.8846035003662109</v>
      </c>
      <c r="F11" s="7">
        <v>1.1801316738128662</v>
      </c>
      <c r="G11" s="7">
        <v>4.3617820739746094</v>
      </c>
      <c r="H11" s="7">
        <v>3.3426899909973145</v>
      </c>
      <c r="I11" s="8">
        <v>1.6031652688980103</v>
      </c>
      <c r="J11" s="8">
        <v>0.78705346584320068</v>
      </c>
      <c r="K11" s="9"/>
      <c r="L11" t="s">
        <v>123</v>
      </c>
      <c r="M11">
        <v>1</v>
      </c>
      <c r="N11" s="19">
        <f t="shared" si="0"/>
        <v>0.99175086189116757</v>
      </c>
      <c r="O11" s="19">
        <f t="shared" si="1"/>
        <v>1.0122187161918612</v>
      </c>
    </row>
    <row r="12" spans="1:15" ht="22" thickBot="1" x14ac:dyDescent="0.25">
      <c r="A12" s="18" t="s">
        <v>19</v>
      </c>
      <c r="B12" s="5" t="s">
        <v>23</v>
      </c>
      <c r="C12" s="6">
        <v>1.219908595085144</v>
      </c>
      <c r="D12" s="7">
        <v>5.032958984375</v>
      </c>
      <c r="E12" s="7">
        <v>6.1980562210083008</v>
      </c>
      <c r="F12" s="7">
        <v>0.96773016452789307</v>
      </c>
      <c r="G12" s="7">
        <v>4.0652289390563965</v>
      </c>
      <c r="H12" s="7">
        <v>1.1650972366333008</v>
      </c>
      <c r="I12" s="8">
        <v>1.2314934730529785</v>
      </c>
      <c r="J12" s="8">
        <v>0.80772143602371216</v>
      </c>
      <c r="K12" s="9"/>
      <c r="L12" t="s">
        <v>123</v>
      </c>
      <c r="M12">
        <v>1</v>
      </c>
      <c r="N12" s="19">
        <f t="shared" si="0"/>
        <v>0.92432272766444667</v>
      </c>
      <c r="O12" s="19">
        <f t="shared" si="1"/>
        <v>0.91925925462349978</v>
      </c>
    </row>
    <row r="13" spans="1:15" ht="22" thickBot="1" x14ac:dyDescent="0.25">
      <c r="A13" s="18" t="s">
        <v>19</v>
      </c>
      <c r="B13" s="5" t="s">
        <v>24</v>
      </c>
      <c r="C13" s="6">
        <v>1.3662451505661011</v>
      </c>
      <c r="D13" s="7">
        <v>5.6075534820556641</v>
      </c>
      <c r="E13" s="7">
        <v>10.027381896972656</v>
      </c>
      <c r="F13" s="7">
        <v>1.1964209079742432</v>
      </c>
      <c r="G13" s="7">
        <v>4.4111328125</v>
      </c>
      <c r="H13" s="7">
        <v>4.4198284149169922</v>
      </c>
      <c r="I13" s="8">
        <v>1.7881919145584106</v>
      </c>
      <c r="J13" s="8">
        <v>0.78664124011993408</v>
      </c>
      <c r="K13" s="9"/>
      <c r="L13" t="s">
        <v>123</v>
      </c>
      <c r="M13">
        <v>1</v>
      </c>
      <c r="N13" s="19">
        <f t="shared" si="0"/>
        <v>1.0029718804192489</v>
      </c>
      <c r="O13" s="19">
        <f t="shared" si="1"/>
        <v>1.0242077176029343</v>
      </c>
    </row>
    <row r="14" spans="1:15" ht="22" thickBot="1" x14ac:dyDescent="0.25">
      <c r="A14" s="18" t="s">
        <v>19</v>
      </c>
      <c r="B14" s="5" t="s">
        <v>25</v>
      </c>
      <c r="C14" s="6">
        <v>1.0978004932403564</v>
      </c>
      <c r="D14" s="7">
        <v>5.7038106918334961</v>
      </c>
      <c r="E14" s="7">
        <v>6.0779485702514648</v>
      </c>
      <c r="F14" s="7">
        <v>1.122560977935791</v>
      </c>
      <c r="G14" s="7">
        <v>4.5812497138977051</v>
      </c>
      <c r="H14" s="7">
        <v>0.37413787841796875</v>
      </c>
      <c r="I14" s="8">
        <v>1.0655943155288696</v>
      </c>
      <c r="J14" s="8">
        <v>0.80319106578826904</v>
      </c>
      <c r="K14" s="9"/>
      <c r="L14" t="s">
        <v>123</v>
      </c>
      <c r="M14">
        <v>1</v>
      </c>
      <c r="N14" s="19">
        <f t="shared" si="0"/>
        <v>1.0416518467087363</v>
      </c>
      <c r="O14" s="19">
        <f t="shared" si="1"/>
        <v>1.0417888922533165</v>
      </c>
    </row>
    <row r="15" spans="1:15" ht="22" thickBot="1" x14ac:dyDescent="0.25">
      <c r="A15" s="18" t="s">
        <v>19</v>
      </c>
      <c r="B15" s="11" t="s">
        <v>26</v>
      </c>
      <c r="C15" s="12">
        <v>1.3477442264556885</v>
      </c>
      <c r="D15" s="13">
        <v>5.8622293472290039</v>
      </c>
      <c r="E15" s="13">
        <v>8.3895778656005859</v>
      </c>
      <c r="F15" s="13">
        <v>1.5868983268737793</v>
      </c>
      <c r="G15" s="13">
        <v>4.2753310203552246</v>
      </c>
      <c r="H15" s="13">
        <v>2.527348518371582</v>
      </c>
      <c r="I15" s="14">
        <v>1.4311240911483765</v>
      </c>
      <c r="J15" s="14">
        <v>0.72930121421813965</v>
      </c>
      <c r="K15" s="15"/>
      <c r="L15" t="s">
        <v>123</v>
      </c>
      <c r="M15">
        <v>1</v>
      </c>
      <c r="N15" s="19">
        <f>G15/AVERAGE(G$2:G$8)</f>
        <v>0.97209423863848476</v>
      </c>
      <c r="O15" s="19">
        <f>D15/AVERAGE(D$2:D$8)</f>
        <v>1.0707237227435786</v>
      </c>
    </row>
    <row r="16" spans="1:15" ht="19" customHeight="1" thickBot="1" x14ac:dyDescent="0.3">
      <c r="A16" s="18" t="s">
        <v>27</v>
      </c>
      <c r="B16" s="5" t="s">
        <v>28</v>
      </c>
      <c r="C16" s="6">
        <v>1.3866848945617676</v>
      </c>
      <c r="D16" s="7">
        <v>4.9026970863342285</v>
      </c>
      <c r="E16" s="7">
        <v>8.5872707366943359</v>
      </c>
      <c r="F16" s="7">
        <v>0.8527408242225647</v>
      </c>
      <c r="G16" s="7">
        <v>4.0499563217163086</v>
      </c>
      <c r="H16" s="7">
        <v>3.6845736503601074</v>
      </c>
      <c r="I16" s="8">
        <v>1.7515401840209961</v>
      </c>
      <c r="J16" s="8">
        <v>0.82606703042984009</v>
      </c>
      <c r="K16" s="9"/>
      <c r="L16" t="s">
        <v>123</v>
      </c>
      <c r="M16" s="10">
        <v>0</v>
      </c>
      <c r="N16">
        <v>0</v>
      </c>
      <c r="O16">
        <v>0</v>
      </c>
    </row>
    <row r="17" spans="1:15" ht="22" thickBot="1" x14ac:dyDescent="0.25">
      <c r="A17" s="18" t="s">
        <v>27</v>
      </c>
      <c r="B17" s="5" t="s">
        <v>29</v>
      </c>
      <c r="C17" s="6">
        <v>1.2628432512283325</v>
      </c>
      <c r="D17" s="7">
        <v>5.2812075614929199</v>
      </c>
      <c r="E17" s="7">
        <v>7.3956427574157715</v>
      </c>
      <c r="F17" s="7">
        <v>1.5841410160064697</v>
      </c>
      <c r="G17" s="7">
        <v>3.6970665454864502</v>
      </c>
      <c r="H17" s="7">
        <v>2.1144351959228516</v>
      </c>
      <c r="I17" s="8">
        <v>1.4003696441650391</v>
      </c>
      <c r="J17" s="8">
        <v>0.70004189014434814</v>
      </c>
      <c r="K17" s="9"/>
      <c r="L17" t="s">
        <v>123</v>
      </c>
      <c r="M17">
        <v>0</v>
      </c>
      <c r="N17">
        <v>0</v>
      </c>
      <c r="O17">
        <v>0</v>
      </c>
    </row>
    <row r="18" spans="1:15" ht="22" thickBot="1" x14ac:dyDescent="0.25">
      <c r="A18" s="18" t="s">
        <v>27</v>
      </c>
      <c r="B18" s="5" t="s">
        <v>30</v>
      </c>
      <c r="C18" s="6">
        <v>1.1314374208450317</v>
      </c>
      <c r="D18" s="7">
        <v>4.9002065658569336</v>
      </c>
      <c r="E18" s="7">
        <v>4.6938204765319824</v>
      </c>
      <c r="F18" s="7">
        <v>1.0508410930633545</v>
      </c>
      <c r="G18" s="7">
        <v>3.8493654727935791</v>
      </c>
      <c r="H18" s="7">
        <v>-0.20638608932495117</v>
      </c>
      <c r="I18" s="8">
        <v>0.95788216590881348</v>
      </c>
      <c r="J18" s="8">
        <v>0.78555166721343994</v>
      </c>
      <c r="K18" s="9"/>
      <c r="L18" t="s">
        <v>123</v>
      </c>
      <c r="M18">
        <v>0</v>
      </c>
      <c r="N18">
        <v>0</v>
      </c>
      <c r="O18">
        <v>0</v>
      </c>
    </row>
    <row r="19" spans="1:15" ht="22" thickBot="1" x14ac:dyDescent="0.25">
      <c r="A19" s="18" t="s">
        <v>27</v>
      </c>
      <c r="B19" s="11" t="s">
        <v>31</v>
      </c>
      <c r="C19" s="12">
        <v>1.0812815427780151</v>
      </c>
      <c r="D19" s="13">
        <v>5.0501999855041504</v>
      </c>
      <c r="E19" s="13">
        <v>8.4949045181274414</v>
      </c>
      <c r="F19" s="13">
        <v>1.0090223550796509</v>
      </c>
      <c r="G19" s="13">
        <v>4.0411777496337891</v>
      </c>
      <c r="H19" s="13">
        <v>3.444704532623291</v>
      </c>
      <c r="I19" s="14">
        <v>1.6820926666259766</v>
      </c>
      <c r="J19" s="14">
        <v>0.80020153522491455</v>
      </c>
      <c r="K19" s="15"/>
      <c r="L19" t="s">
        <v>123</v>
      </c>
      <c r="M19">
        <v>0</v>
      </c>
      <c r="N19">
        <v>0</v>
      </c>
      <c r="O19">
        <v>0</v>
      </c>
    </row>
    <row r="20" spans="1:15" ht="19" customHeight="1" thickBot="1" x14ac:dyDescent="0.3">
      <c r="A20" s="18" t="s">
        <v>32</v>
      </c>
      <c r="B20" s="5" t="s">
        <v>33</v>
      </c>
      <c r="C20" s="6">
        <v>1.2445958852767944</v>
      </c>
      <c r="D20" s="7">
        <v>4.6582608222961426</v>
      </c>
      <c r="E20" s="7">
        <v>4.6436982154846191</v>
      </c>
      <c r="F20" s="7">
        <v>1.0205413103103638</v>
      </c>
      <c r="G20" s="7">
        <v>3.6377196311950684</v>
      </c>
      <c r="H20" s="7">
        <v>-1.4562606811523438E-2</v>
      </c>
      <c r="I20" s="8">
        <v>0.99687379598617554</v>
      </c>
      <c r="J20" s="8">
        <v>0.78091800212860107</v>
      </c>
      <c r="K20" s="9"/>
      <c r="L20" t="s">
        <v>123</v>
      </c>
      <c r="M20" s="10">
        <v>1</v>
      </c>
      <c r="N20" s="19">
        <f>G20/AVERAGE(G$16:G$19)</f>
        <v>0.9305078834761582</v>
      </c>
      <c r="O20" s="19">
        <f>D20/AVERAGE(D$16:D$19)</f>
        <v>0.92543733455037736</v>
      </c>
    </row>
    <row r="21" spans="1:15" ht="22" thickBot="1" x14ac:dyDescent="0.25">
      <c r="A21" s="18" t="s">
        <v>32</v>
      </c>
      <c r="B21" s="5" t="s">
        <v>34</v>
      </c>
      <c r="C21" s="6">
        <v>1.2109427452087402</v>
      </c>
      <c r="D21" s="7">
        <v>5.3733091354370117</v>
      </c>
      <c r="E21" s="7">
        <v>5.9642353057861328</v>
      </c>
      <c r="F21" s="7">
        <v>1.105469822883606</v>
      </c>
      <c r="G21" s="7">
        <v>4.2678394317626953</v>
      </c>
      <c r="H21" s="7">
        <v>0.59092617034912109</v>
      </c>
      <c r="I21" s="8">
        <v>1.1099743843078613</v>
      </c>
      <c r="J21" s="8">
        <v>0.79426652193069458</v>
      </c>
      <c r="K21" s="9"/>
      <c r="L21" t="s">
        <v>123</v>
      </c>
      <c r="M21">
        <v>1</v>
      </c>
      <c r="N21" s="19">
        <f t="shared" ref="N21:N22" si="2">G21/AVERAGE(G$16:G$19)</f>
        <v>1.0916889258342739</v>
      </c>
      <c r="O21" s="19">
        <f>D21/AVERAGE(D$16:D$19)</f>
        <v>1.0674930137473291</v>
      </c>
    </row>
    <row r="22" spans="1:15" ht="22" thickBot="1" x14ac:dyDescent="0.25">
      <c r="A22" s="18" t="s">
        <v>32</v>
      </c>
      <c r="B22" s="5" t="s">
        <v>35</v>
      </c>
      <c r="C22" s="6">
        <v>1.1408175230026245</v>
      </c>
      <c r="D22" s="7">
        <v>4.1842751502990723</v>
      </c>
      <c r="E22" s="7">
        <v>4.4059600830078125</v>
      </c>
      <c r="F22" s="7">
        <v>1.3945640325546265</v>
      </c>
      <c r="G22" s="7">
        <v>2.7897109985351562</v>
      </c>
      <c r="H22" s="7">
        <v>0.22168493270874023</v>
      </c>
      <c r="I22" s="8">
        <v>1.0529805421829224</v>
      </c>
      <c r="J22" s="8">
        <v>0.66671305894851685</v>
      </c>
      <c r="K22" s="9"/>
      <c r="L22" t="s">
        <v>123</v>
      </c>
      <c r="M22">
        <v>1</v>
      </c>
      <c r="N22" s="19">
        <f t="shared" si="2"/>
        <v>0.71359212361957558</v>
      </c>
      <c r="O22" s="19">
        <f t="shared" ref="O22" si="3">D22/AVERAGE(D$16:D$19)</f>
        <v>0.83127256927821247</v>
      </c>
    </row>
    <row r="23" spans="1:15" ht="22" thickBot="1" x14ac:dyDescent="0.25">
      <c r="A23" s="18" t="s">
        <v>32</v>
      </c>
      <c r="B23" s="11" t="s">
        <v>36</v>
      </c>
      <c r="C23" s="12">
        <v>1.3742388486862183</v>
      </c>
      <c r="D23" s="13">
        <v>5.0397481918334961</v>
      </c>
      <c r="E23" s="13">
        <v>8.8529624938964844</v>
      </c>
      <c r="F23" s="13">
        <v>1.2119189500808716</v>
      </c>
      <c r="G23" s="13">
        <v>3.8278293609619141</v>
      </c>
      <c r="H23" s="13">
        <v>3.8132143020629883</v>
      </c>
      <c r="I23" s="14">
        <v>1.7566279172897339</v>
      </c>
      <c r="J23" s="14">
        <v>0.75952792167663574</v>
      </c>
      <c r="K23" s="15"/>
      <c r="L23" t="s">
        <v>123</v>
      </c>
      <c r="M23">
        <v>1</v>
      </c>
      <c r="N23" s="19">
        <f>G23/AVERAGE(G$16:G$19)</f>
        <v>0.9791368654231416</v>
      </c>
      <c r="O23" s="19">
        <f>D23/AVERAGE(D$16:D$19)</f>
        <v>1.001225846163873</v>
      </c>
    </row>
    <row r="24" spans="1:15" ht="19" customHeight="1" thickBot="1" x14ac:dyDescent="0.3">
      <c r="A24" s="18" t="s">
        <v>37</v>
      </c>
      <c r="B24" s="5" t="s">
        <v>38</v>
      </c>
      <c r="C24" s="6">
        <v>1.3949955701828003</v>
      </c>
      <c r="D24" s="7">
        <v>4.3094182014465332</v>
      </c>
      <c r="E24" s="7">
        <v>7.8159112930297852</v>
      </c>
      <c r="F24" s="7">
        <v>0.44598373770713806</v>
      </c>
      <c r="G24" s="7">
        <v>3.8634345531463623</v>
      </c>
      <c r="H24" s="7">
        <v>3.506493091583252</v>
      </c>
      <c r="I24" s="8">
        <v>1.8136813640594482</v>
      </c>
      <c r="J24" s="8">
        <v>0.89650952816009521</v>
      </c>
      <c r="K24" s="9"/>
      <c r="L24" t="s">
        <v>123</v>
      </c>
      <c r="M24" s="10">
        <v>0</v>
      </c>
      <c r="N24">
        <v>0</v>
      </c>
      <c r="O24">
        <v>0</v>
      </c>
    </row>
    <row r="25" spans="1:15" ht="22" thickBot="1" x14ac:dyDescent="0.25">
      <c r="A25" s="18" t="s">
        <v>37</v>
      </c>
      <c r="B25" s="5" t="s">
        <v>39</v>
      </c>
      <c r="C25" s="6">
        <v>1.4360264539718628</v>
      </c>
      <c r="D25" s="7">
        <v>5.3016376495361328</v>
      </c>
      <c r="E25" s="7">
        <v>10.120779991149902</v>
      </c>
      <c r="F25" s="7">
        <v>0.91570907831192017</v>
      </c>
      <c r="G25" s="7">
        <v>4.3859286308288574</v>
      </c>
      <c r="H25" s="7">
        <v>4.8191423416137695</v>
      </c>
      <c r="I25" s="8">
        <v>1.9089912176132202</v>
      </c>
      <c r="J25" s="8">
        <v>0.82727807760238647</v>
      </c>
      <c r="K25" s="9"/>
      <c r="L25" t="s">
        <v>123</v>
      </c>
      <c r="M25">
        <v>0</v>
      </c>
      <c r="N25">
        <v>0</v>
      </c>
      <c r="O25">
        <v>0</v>
      </c>
    </row>
    <row r="26" spans="1:15" ht="22" thickBot="1" x14ac:dyDescent="0.25">
      <c r="A26" s="18" t="s">
        <v>37</v>
      </c>
      <c r="B26" s="5" t="s">
        <v>40</v>
      </c>
      <c r="C26" s="6">
        <v>1.1530417203903198</v>
      </c>
      <c r="D26" s="7">
        <v>4.6372256278991699</v>
      </c>
      <c r="E26" s="7">
        <v>8.4623327255249023</v>
      </c>
      <c r="F26" s="7">
        <v>0.68863147497177124</v>
      </c>
      <c r="G26" s="7">
        <v>3.9485940933227539</v>
      </c>
      <c r="H26" s="7">
        <v>3.8251070976257324</v>
      </c>
      <c r="I26" s="8">
        <v>1.8248697519302368</v>
      </c>
      <c r="J26" s="8">
        <v>0.85149925947189331</v>
      </c>
      <c r="K26" s="9"/>
      <c r="L26" t="s">
        <v>123</v>
      </c>
      <c r="M26">
        <v>0</v>
      </c>
      <c r="N26">
        <v>0</v>
      </c>
      <c r="O26">
        <v>0</v>
      </c>
    </row>
    <row r="27" spans="1:15" ht="22" thickBot="1" x14ac:dyDescent="0.25">
      <c r="A27" s="18" t="s">
        <v>37</v>
      </c>
      <c r="B27" s="5" t="s">
        <v>41</v>
      </c>
      <c r="C27" s="6">
        <v>1.189034104347229</v>
      </c>
      <c r="D27" s="7">
        <v>4.7803926467895508</v>
      </c>
      <c r="E27" s="7">
        <v>8.6964225769042969</v>
      </c>
      <c r="F27" s="7">
        <v>0.78898918628692627</v>
      </c>
      <c r="G27" s="7">
        <v>3.9914035797119141</v>
      </c>
      <c r="H27" s="7">
        <v>3.9160299301147461</v>
      </c>
      <c r="I27" s="8">
        <v>1.8191858530044556</v>
      </c>
      <c r="J27" s="8">
        <v>0.83495306968688965</v>
      </c>
      <c r="K27" s="9"/>
      <c r="L27" t="s">
        <v>123</v>
      </c>
      <c r="M27">
        <v>0</v>
      </c>
      <c r="N27">
        <v>0</v>
      </c>
      <c r="O27">
        <v>0</v>
      </c>
    </row>
    <row r="28" spans="1:15" ht="22" thickBot="1" x14ac:dyDescent="0.25">
      <c r="A28" s="18" t="s">
        <v>37</v>
      </c>
      <c r="B28" s="11" t="s">
        <v>42</v>
      </c>
      <c r="C28" s="12">
        <v>1.0197010040283203</v>
      </c>
      <c r="D28" s="13">
        <v>4.4921259880065918</v>
      </c>
      <c r="E28" s="13">
        <v>7.6129837036132812</v>
      </c>
      <c r="F28" s="13">
        <v>0.72121226787567139</v>
      </c>
      <c r="G28" s="13">
        <v>3.7709136009216309</v>
      </c>
      <c r="H28" s="13">
        <v>3.1208577156066895</v>
      </c>
      <c r="I28" s="14">
        <v>1.6947395801544189</v>
      </c>
      <c r="J28" s="14">
        <v>0.83944964408874512</v>
      </c>
      <c r="K28" s="15"/>
      <c r="L28" t="s">
        <v>129</v>
      </c>
      <c r="M28">
        <v>0</v>
      </c>
      <c r="N28">
        <v>0</v>
      </c>
      <c r="O28">
        <v>0</v>
      </c>
    </row>
    <row r="29" spans="1:15" ht="19" customHeight="1" thickBot="1" x14ac:dyDescent="0.3">
      <c r="A29" s="18" t="s">
        <v>43</v>
      </c>
      <c r="B29" s="5" t="s">
        <v>44</v>
      </c>
      <c r="C29" s="6">
        <v>1.3914421796798706</v>
      </c>
      <c r="D29" s="7">
        <v>4.6752424240112305</v>
      </c>
      <c r="E29" s="7">
        <v>8.7140312194824219</v>
      </c>
      <c r="F29" s="7">
        <v>0.93875586986541748</v>
      </c>
      <c r="G29" s="7">
        <v>3.7364864349365234</v>
      </c>
      <c r="H29" s="7">
        <v>4.0387887954711914</v>
      </c>
      <c r="I29" s="8">
        <v>1.8638672828674316</v>
      </c>
      <c r="J29" s="8">
        <v>0.79920697212219238</v>
      </c>
      <c r="K29" s="9"/>
      <c r="L29" t="s">
        <v>129</v>
      </c>
      <c r="M29" s="10">
        <v>1</v>
      </c>
      <c r="N29" s="19">
        <f>G29/AVERAGE(G$24:G$28)</f>
        <v>0.93598072581907144</v>
      </c>
      <c r="O29" s="19">
        <f>D29/AVERAGE(D$24:D$28)</f>
        <v>0.99385276041108217</v>
      </c>
    </row>
    <row r="30" spans="1:15" ht="22" thickBot="1" x14ac:dyDescent="0.25">
      <c r="A30" s="18" t="s">
        <v>43</v>
      </c>
      <c r="B30" s="5" t="s">
        <v>45</v>
      </c>
      <c r="C30" s="6">
        <v>1.1981221437454224</v>
      </c>
      <c r="D30" s="7">
        <v>4.4604125022888184</v>
      </c>
      <c r="E30" s="7">
        <v>8.3008756637573242</v>
      </c>
      <c r="F30" s="7">
        <v>0.7853846549987793</v>
      </c>
      <c r="G30" s="7">
        <v>3.6750278472900391</v>
      </c>
      <c r="H30" s="7">
        <v>3.8404631614685059</v>
      </c>
      <c r="I30" s="8">
        <v>1.8610107898712158</v>
      </c>
      <c r="J30" s="8">
        <v>0.8239210844039917</v>
      </c>
      <c r="K30" s="9"/>
      <c r="L30" t="s">
        <v>124</v>
      </c>
      <c r="M30">
        <v>1</v>
      </c>
      <c r="N30" s="19">
        <f t="shared" ref="N30:N32" si="4">G30/AVERAGE(G$24:G$28)</f>
        <v>0.92058549972235248</v>
      </c>
      <c r="O30" s="19">
        <f>D30/AVERAGE(D$24:D$28)</f>
        <v>0.94818468775111275</v>
      </c>
    </row>
    <row r="31" spans="1:15" ht="22" thickBot="1" x14ac:dyDescent="0.25">
      <c r="A31" s="18" t="s">
        <v>43</v>
      </c>
      <c r="B31" s="5" t="s">
        <v>46</v>
      </c>
      <c r="C31" s="6">
        <v>1.3270148038864136</v>
      </c>
      <c r="D31" s="7">
        <v>5.2772617340087891</v>
      </c>
      <c r="E31" s="7">
        <v>9.6493492126464844</v>
      </c>
      <c r="F31" s="7">
        <v>0.88539445400238037</v>
      </c>
      <c r="G31" s="7">
        <v>4.3918671607971191</v>
      </c>
      <c r="H31" s="7">
        <v>4.3720874786376953</v>
      </c>
      <c r="I31" s="8">
        <v>1.8284765481948853</v>
      </c>
      <c r="J31" s="8">
        <v>0.83222460746765137</v>
      </c>
      <c r="K31" s="9"/>
      <c r="L31" t="s">
        <v>123</v>
      </c>
      <c r="M31">
        <v>1</v>
      </c>
      <c r="N31" s="19">
        <f t="shared" si="4"/>
        <v>1.1001519969210503</v>
      </c>
      <c r="O31" s="19">
        <f t="shared" ref="O31:O32" si="5">D31/AVERAGE(D$24:D$28)</f>
        <v>1.1218287023620255</v>
      </c>
    </row>
    <row r="32" spans="1:15" ht="22" thickBot="1" x14ac:dyDescent="0.25">
      <c r="A32" s="18" t="s">
        <v>43</v>
      </c>
      <c r="B32" s="5" t="s">
        <v>47</v>
      </c>
      <c r="C32" s="6">
        <v>1.3806489706039429</v>
      </c>
      <c r="D32" s="7">
        <v>4.6788797378540039</v>
      </c>
      <c r="E32" s="7">
        <v>9.0799007415771484</v>
      </c>
      <c r="F32" s="7">
        <v>0.92175853252410889</v>
      </c>
      <c r="G32" s="7">
        <v>3.7571210861206055</v>
      </c>
      <c r="H32" s="7">
        <v>4.4010210037231445</v>
      </c>
      <c r="I32" s="8">
        <v>1.9406142234802246</v>
      </c>
      <c r="J32" s="8">
        <v>0.80299586057662964</v>
      </c>
      <c r="K32" s="9"/>
      <c r="L32" t="s">
        <v>123</v>
      </c>
      <c r="M32">
        <v>1</v>
      </c>
      <c r="N32" s="19">
        <f t="shared" si="4"/>
        <v>0.94114965554184959</v>
      </c>
      <c r="O32" s="19">
        <f t="shared" si="5"/>
        <v>0.99462597259459506</v>
      </c>
    </row>
    <row r="33" spans="1:15" ht="22" thickBot="1" x14ac:dyDescent="0.25">
      <c r="A33" s="18" t="s">
        <v>43</v>
      </c>
      <c r="B33" s="11" t="s">
        <v>48</v>
      </c>
      <c r="C33" s="12">
        <v>1.2027981281280518</v>
      </c>
      <c r="D33" s="13">
        <v>4.3386178016662598</v>
      </c>
      <c r="E33" s="13">
        <v>7.9735321998596191</v>
      </c>
      <c r="F33" s="13">
        <v>0.80922341346740723</v>
      </c>
      <c r="G33" s="13">
        <v>3.5293943881988525</v>
      </c>
      <c r="H33" s="13">
        <v>3.6349143981933594</v>
      </c>
      <c r="I33" s="14">
        <v>1.8378046751022339</v>
      </c>
      <c r="J33" s="14">
        <v>0.8134835958480835</v>
      </c>
      <c r="K33" s="15"/>
      <c r="L33" t="s">
        <v>123</v>
      </c>
      <c r="M33">
        <v>1</v>
      </c>
      <c r="N33" s="19">
        <f>G33/AVERAGE(G$24:G$28)</f>
        <v>0.8841046739205517</v>
      </c>
      <c r="O33" s="19">
        <f>D33/AVERAGE(D$24:D$28)</f>
        <v>0.92229383794287612</v>
      </c>
    </row>
    <row r="34" spans="1:15" ht="19" customHeight="1" thickBot="1" x14ac:dyDescent="0.3">
      <c r="A34" s="18" t="s">
        <v>49</v>
      </c>
      <c r="B34" s="5" t="s">
        <v>50</v>
      </c>
      <c r="C34" s="6">
        <v>1.5144058465957642</v>
      </c>
      <c r="D34" s="7">
        <v>4.7532176971435547</v>
      </c>
      <c r="E34" s="7">
        <v>7.2993216514587402</v>
      </c>
      <c r="F34" s="7">
        <v>0.72737210988998413</v>
      </c>
      <c r="G34" s="7">
        <v>4.0258455276489258</v>
      </c>
      <c r="H34" s="7">
        <v>2.5461039543151855</v>
      </c>
      <c r="I34" s="8">
        <v>1.5356590747833252</v>
      </c>
      <c r="J34" s="8">
        <v>0.84697270393371582</v>
      </c>
      <c r="K34" s="9"/>
      <c r="L34" t="s">
        <v>129</v>
      </c>
      <c r="M34" s="10">
        <v>0</v>
      </c>
      <c r="N34">
        <v>0</v>
      </c>
      <c r="O34">
        <v>0</v>
      </c>
    </row>
    <row r="35" spans="1:15" ht="22" thickBot="1" x14ac:dyDescent="0.25">
      <c r="A35" s="18" t="s">
        <v>49</v>
      </c>
      <c r="B35" s="5" t="s">
        <v>51</v>
      </c>
      <c r="C35" s="6">
        <v>1.2053837776184082</v>
      </c>
      <c r="D35" s="7">
        <v>4.7260971069335938</v>
      </c>
      <c r="E35" s="7">
        <v>8.0353059768676758</v>
      </c>
      <c r="F35" s="7">
        <v>0.86903196573257446</v>
      </c>
      <c r="G35" s="7">
        <v>3.8570652008056641</v>
      </c>
      <c r="H35" s="7">
        <v>3.309208869934082</v>
      </c>
      <c r="I35" s="8">
        <v>1.7001991271972656</v>
      </c>
      <c r="J35" s="8">
        <v>0.81612062454223633</v>
      </c>
      <c r="K35" s="9"/>
      <c r="L35" t="s">
        <v>123</v>
      </c>
      <c r="M35">
        <v>0</v>
      </c>
      <c r="N35">
        <v>0</v>
      </c>
      <c r="O35">
        <v>0</v>
      </c>
    </row>
    <row r="36" spans="1:15" ht="22" thickBot="1" x14ac:dyDescent="0.25">
      <c r="A36" s="18" t="s">
        <v>49</v>
      </c>
      <c r="B36" s="5" t="s">
        <v>52</v>
      </c>
      <c r="C36" s="6">
        <v>1.0963641405105591</v>
      </c>
      <c r="D36" s="7">
        <v>4.9993081092834473</v>
      </c>
      <c r="E36" s="7">
        <v>7.5834245681762695</v>
      </c>
      <c r="F36" s="7">
        <v>0.91056370735168457</v>
      </c>
      <c r="G36" s="7">
        <v>4.0887441635131836</v>
      </c>
      <c r="H36" s="7">
        <v>2.5841164588928223</v>
      </c>
      <c r="I36" s="8">
        <v>1.5168948173522949</v>
      </c>
      <c r="J36" s="8">
        <v>0.81786203384399414</v>
      </c>
      <c r="K36" s="9"/>
      <c r="L36" t="s">
        <v>123</v>
      </c>
      <c r="M36">
        <v>0</v>
      </c>
      <c r="N36">
        <v>0</v>
      </c>
      <c r="O36">
        <v>0</v>
      </c>
    </row>
    <row r="37" spans="1:15" ht="22" thickBot="1" x14ac:dyDescent="0.25">
      <c r="A37" s="18" t="s">
        <v>49</v>
      </c>
      <c r="B37" s="11" t="s">
        <v>53</v>
      </c>
      <c r="C37" s="12">
        <v>1.0922679901123047</v>
      </c>
      <c r="D37" s="13">
        <v>5.0859131813049316</v>
      </c>
      <c r="E37" s="13">
        <v>7.8080410957336426</v>
      </c>
      <c r="F37" s="13">
        <v>0.95226567983627319</v>
      </c>
      <c r="G37" s="13">
        <v>4.1336474418640137</v>
      </c>
      <c r="H37" s="13">
        <v>2.7221279144287109</v>
      </c>
      <c r="I37" s="14">
        <v>1.535228967666626</v>
      </c>
      <c r="J37" s="14">
        <v>0.81276404857635498</v>
      </c>
      <c r="K37" s="15"/>
      <c r="L37" t="s">
        <v>129</v>
      </c>
      <c r="M37">
        <v>0</v>
      </c>
      <c r="N37">
        <v>0</v>
      </c>
      <c r="O37">
        <v>0</v>
      </c>
    </row>
    <row r="38" spans="1:15" ht="19" customHeight="1" thickBot="1" x14ac:dyDescent="0.3">
      <c r="A38" s="18" t="s">
        <v>54</v>
      </c>
      <c r="B38" s="5" t="s">
        <v>55</v>
      </c>
      <c r="C38" s="6">
        <v>1.0945695638656616</v>
      </c>
      <c r="D38" s="7">
        <v>4.4232053756713867</v>
      </c>
      <c r="E38" s="7">
        <v>7.014404296875</v>
      </c>
      <c r="F38" s="7">
        <v>0.84926718473434448</v>
      </c>
      <c r="G38" s="7">
        <v>3.5739381313323975</v>
      </c>
      <c r="H38" s="7">
        <v>2.5911989212036133</v>
      </c>
      <c r="I38" s="8">
        <v>1.5858192443847656</v>
      </c>
      <c r="J38" s="8">
        <v>0.80799734592437744</v>
      </c>
      <c r="K38" s="9"/>
      <c r="L38" t="s">
        <v>123</v>
      </c>
      <c r="M38" s="10">
        <v>1</v>
      </c>
      <c r="N38" s="19">
        <f>G38/AVERAGE(G$34:G$37)</f>
        <v>0.88764260546038021</v>
      </c>
      <c r="O38" s="19">
        <f>D38/AVERAGE(D$34:D$37)</f>
        <v>0.90433125616046051</v>
      </c>
    </row>
    <row r="39" spans="1:15" ht="22" thickBot="1" x14ac:dyDescent="0.25">
      <c r="A39" s="18" t="s">
        <v>54</v>
      </c>
      <c r="B39" s="5" t="s">
        <v>56</v>
      </c>
      <c r="C39" s="6">
        <v>1.0635683536529541</v>
      </c>
      <c r="D39" s="7">
        <v>4.1681804656982422</v>
      </c>
      <c r="E39" s="7">
        <v>6.6283302307128906</v>
      </c>
      <c r="F39" s="7">
        <v>0.76097780466079712</v>
      </c>
      <c r="G39" s="7">
        <v>3.4072027206420898</v>
      </c>
      <c r="H39" s="7">
        <v>2.4601497650146484</v>
      </c>
      <c r="I39" s="8">
        <v>1.5902215242385864</v>
      </c>
      <c r="J39" s="8">
        <v>0.81743168830871582</v>
      </c>
      <c r="K39" s="9"/>
      <c r="L39" t="s">
        <v>123</v>
      </c>
      <c r="M39">
        <v>1</v>
      </c>
      <c r="N39" s="19">
        <f t="shared" ref="N39:N40" si="6">G39/AVERAGE(G$34:G$37)</f>
        <v>0.84623129700203403</v>
      </c>
      <c r="O39" s="19">
        <f t="shared" ref="O39:O40" si="7">D39/AVERAGE(D$34:D$37)</f>
        <v>0.85219101450296886</v>
      </c>
    </row>
    <row r="40" spans="1:15" ht="22" thickBot="1" x14ac:dyDescent="0.25">
      <c r="A40" s="18" t="s">
        <v>54</v>
      </c>
      <c r="B40" s="5" t="s">
        <v>57</v>
      </c>
      <c r="C40" s="6">
        <v>1.0592644214630127</v>
      </c>
      <c r="D40" s="7">
        <v>4.3875455856323242</v>
      </c>
      <c r="E40" s="7">
        <v>7.1139945983886719</v>
      </c>
      <c r="F40" s="7">
        <v>0.78681701421737671</v>
      </c>
      <c r="G40" s="7">
        <v>3.6007285118103027</v>
      </c>
      <c r="H40" s="7">
        <v>2.7264490127563477</v>
      </c>
      <c r="I40" s="8">
        <v>1.6214064359664917</v>
      </c>
      <c r="J40" s="8">
        <v>0.82067030668258667</v>
      </c>
      <c r="K40" s="9"/>
      <c r="L40" t="s">
        <v>123</v>
      </c>
      <c r="M40">
        <v>1</v>
      </c>
      <c r="N40" s="19">
        <f t="shared" si="6"/>
        <v>0.89429640926302667</v>
      </c>
      <c r="O40" s="19">
        <f t="shared" si="7"/>
        <v>0.89704055632142154</v>
      </c>
    </row>
    <row r="41" spans="1:15" ht="22" thickBot="1" x14ac:dyDescent="0.25">
      <c r="A41" s="18" t="s">
        <v>54</v>
      </c>
      <c r="B41" s="11" t="s">
        <v>58</v>
      </c>
      <c r="C41" s="12">
        <v>1.1883261203765869</v>
      </c>
      <c r="D41" s="13">
        <v>4.770390510559082</v>
      </c>
      <c r="E41" s="13">
        <v>7.209172248840332</v>
      </c>
      <c r="F41" s="13">
        <v>1.2052853107452393</v>
      </c>
      <c r="G41" s="13">
        <v>3.5651051998138428</v>
      </c>
      <c r="H41" s="13">
        <v>2.43878173828125</v>
      </c>
      <c r="I41" s="14">
        <v>1.5112330913543701</v>
      </c>
      <c r="J41" s="14">
        <v>0.74734032154083252</v>
      </c>
      <c r="K41" s="15"/>
      <c r="L41" t="s">
        <v>123</v>
      </c>
      <c r="M41">
        <v>1</v>
      </c>
      <c r="N41" s="19">
        <f>G41/AVERAGE(G$34:G$37)</f>
        <v>0.8854488108117694</v>
      </c>
      <c r="O41" s="19">
        <f>D41/AVERAGE(D$34:D$37)</f>
        <v>0.97531379992388945</v>
      </c>
    </row>
    <row r="42" spans="1:15" ht="19" customHeight="1" thickBot="1" x14ac:dyDescent="0.3">
      <c r="A42" s="18" t="s">
        <v>59</v>
      </c>
      <c r="B42" s="5" t="s">
        <v>60</v>
      </c>
      <c r="C42" s="6">
        <v>1.201388955116272</v>
      </c>
      <c r="D42" s="7">
        <v>3.6708662509918213</v>
      </c>
      <c r="E42" s="7">
        <v>7.3725833892822266</v>
      </c>
      <c r="F42" s="7">
        <v>0.66834527254104614</v>
      </c>
      <c r="G42" s="7">
        <v>3.0025210380554199</v>
      </c>
      <c r="H42" s="7">
        <v>3.7017171382904053</v>
      </c>
      <c r="I42" s="8">
        <v>2.0084042549133301</v>
      </c>
      <c r="J42" s="8">
        <v>0.81793254613876343</v>
      </c>
      <c r="K42" s="9"/>
      <c r="L42" t="s">
        <v>129</v>
      </c>
      <c r="M42" s="10">
        <v>0</v>
      </c>
      <c r="N42">
        <v>0</v>
      </c>
      <c r="O42">
        <v>0</v>
      </c>
    </row>
    <row r="43" spans="1:15" ht="22" thickBot="1" x14ac:dyDescent="0.25">
      <c r="A43" s="18" t="s">
        <v>59</v>
      </c>
      <c r="B43" s="5" t="s">
        <v>61</v>
      </c>
      <c r="C43" s="6">
        <v>1.0338848829269409</v>
      </c>
      <c r="D43" s="7">
        <v>3.3834054470062256</v>
      </c>
      <c r="E43" s="7">
        <v>6.3895893096923828</v>
      </c>
      <c r="F43" s="7">
        <v>0.66676080226898193</v>
      </c>
      <c r="G43" s="7">
        <v>2.7166447639465332</v>
      </c>
      <c r="H43" s="7">
        <v>3.0061838626861572</v>
      </c>
      <c r="I43" s="8">
        <v>1.8885083198547363</v>
      </c>
      <c r="J43" s="8">
        <v>0.80293208360671997</v>
      </c>
      <c r="K43" s="9"/>
      <c r="L43" t="s">
        <v>123</v>
      </c>
      <c r="M43">
        <v>0</v>
      </c>
      <c r="N43">
        <v>0</v>
      </c>
      <c r="O43">
        <v>0</v>
      </c>
    </row>
    <row r="44" spans="1:15" ht="22" thickBot="1" x14ac:dyDescent="0.25">
      <c r="A44" s="18" t="s">
        <v>59</v>
      </c>
      <c r="B44" s="5" t="s">
        <v>62</v>
      </c>
      <c r="C44" s="6">
        <v>1.0402827262878418</v>
      </c>
      <c r="D44" s="7">
        <v>3.2668993473052979</v>
      </c>
      <c r="E44" s="7">
        <v>6.1457395553588867</v>
      </c>
      <c r="F44" s="7">
        <v>0.70788443088531494</v>
      </c>
      <c r="G44" s="7">
        <v>2.5590147972106934</v>
      </c>
      <c r="H44" s="7">
        <v>2.8788402080535889</v>
      </c>
      <c r="I44" s="8">
        <v>1.8812148571014404</v>
      </c>
      <c r="J44" s="8">
        <v>0.78331607580184937</v>
      </c>
      <c r="K44" s="9"/>
      <c r="L44" t="s">
        <v>123</v>
      </c>
      <c r="M44">
        <v>0</v>
      </c>
      <c r="N44">
        <v>0</v>
      </c>
      <c r="O44">
        <v>0</v>
      </c>
    </row>
    <row r="45" spans="1:15" ht="22" thickBot="1" x14ac:dyDescent="0.25">
      <c r="A45" s="18" t="s">
        <v>59</v>
      </c>
      <c r="B45" s="5" t="s">
        <v>63</v>
      </c>
      <c r="C45" s="6">
        <v>1.0681242942810059</v>
      </c>
      <c r="D45" s="7">
        <v>3.4415462017059326</v>
      </c>
      <c r="E45" s="7">
        <v>5.9146928787231445</v>
      </c>
      <c r="F45" s="7">
        <v>0.70999079942703247</v>
      </c>
      <c r="G45" s="7">
        <v>2.7315554618835449</v>
      </c>
      <c r="H45" s="7">
        <v>2.4731466770172119</v>
      </c>
      <c r="I45" s="8">
        <v>1.718614935874939</v>
      </c>
      <c r="J45" s="8">
        <v>0.79370009899139404</v>
      </c>
      <c r="K45" s="9"/>
      <c r="L45" t="s">
        <v>123</v>
      </c>
      <c r="M45">
        <v>0</v>
      </c>
      <c r="N45">
        <v>0</v>
      </c>
      <c r="O45">
        <v>0</v>
      </c>
    </row>
    <row r="46" spans="1:15" ht="22" thickBot="1" x14ac:dyDescent="0.25">
      <c r="A46" s="18" t="s">
        <v>59</v>
      </c>
      <c r="B46" s="11" t="s">
        <v>64</v>
      </c>
      <c r="C46" s="12">
        <v>0.99304735660552979</v>
      </c>
      <c r="D46" s="13">
        <v>3.3008923530578613</v>
      </c>
      <c r="E46" s="13">
        <v>6.105008602142334</v>
      </c>
      <c r="F46" s="13">
        <v>0.71218734979629517</v>
      </c>
      <c r="G46" s="13">
        <v>2.5887050628662109</v>
      </c>
      <c r="H46" s="13">
        <v>2.8041162490844727</v>
      </c>
      <c r="I46" s="14">
        <v>1.8495024442672729</v>
      </c>
      <c r="J46" s="14">
        <v>0.78424400091171265</v>
      </c>
      <c r="K46" s="15"/>
      <c r="L46" t="s">
        <v>129</v>
      </c>
      <c r="M46">
        <v>0</v>
      </c>
      <c r="N46">
        <v>0</v>
      </c>
      <c r="O46">
        <v>0</v>
      </c>
    </row>
    <row r="47" spans="1:15" ht="19" customHeight="1" thickBot="1" x14ac:dyDescent="0.3">
      <c r="A47" s="18" t="s">
        <v>65</v>
      </c>
      <c r="B47" s="5" t="s">
        <v>66</v>
      </c>
      <c r="C47" s="6">
        <v>1.1750316619873047</v>
      </c>
      <c r="D47" s="7">
        <v>3.6202666759490967</v>
      </c>
      <c r="E47" s="7">
        <v>6.9955530166625977</v>
      </c>
      <c r="F47" s="7">
        <v>0.70846080780029297</v>
      </c>
      <c r="G47" s="7">
        <v>2.9118058681488037</v>
      </c>
      <c r="H47" s="7">
        <v>3.375286340713501</v>
      </c>
      <c r="I47" s="8">
        <v>1.932330846786499</v>
      </c>
      <c r="J47" s="8">
        <v>0.80430698394775391</v>
      </c>
      <c r="K47" s="9"/>
      <c r="L47" t="s">
        <v>129</v>
      </c>
      <c r="M47" s="10">
        <v>1</v>
      </c>
      <c r="N47" s="19">
        <f>G47/AVERAGE(G$42:G$46)</f>
        <v>1.070639583465852</v>
      </c>
      <c r="O47" s="19">
        <f>D47/AVERAGE(D$42:D$46)</f>
        <v>1.0608150212059624</v>
      </c>
    </row>
    <row r="48" spans="1:15" ht="22" thickBot="1" x14ac:dyDescent="0.25">
      <c r="A48" s="18" t="s">
        <v>65</v>
      </c>
      <c r="B48" s="5" t="s">
        <v>67</v>
      </c>
      <c r="C48" s="6">
        <v>1.2548248767852783</v>
      </c>
      <c r="D48" s="7">
        <v>3.6578691005706787</v>
      </c>
      <c r="E48" s="7">
        <v>6.9044675827026367</v>
      </c>
      <c r="F48" s="7">
        <v>0.75404244661331177</v>
      </c>
      <c r="G48" s="7">
        <v>2.9038267135620117</v>
      </c>
      <c r="H48" s="7">
        <v>3.246598482131958</v>
      </c>
      <c r="I48" s="8">
        <v>1.8875654935836792</v>
      </c>
      <c r="J48" s="8">
        <v>0.79385745525360107</v>
      </c>
      <c r="K48" s="9"/>
      <c r="L48" t="s">
        <v>123</v>
      </c>
      <c r="M48">
        <v>1</v>
      </c>
      <c r="N48" s="19">
        <f t="shared" ref="N48:N50" si="8">G48/AVERAGE(G$42:G$46)</f>
        <v>1.0677057344628471</v>
      </c>
      <c r="O48" s="19">
        <f t="shared" ref="O48:O50" si="9">D48/AVERAGE(D$42:D$46)</f>
        <v>1.0718333301988714</v>
      </c>
    </row>
    <row r="49" spans="1:15" ht="22" thickBot="1" x14ac:dyDescent="0.25">
      <c r="A49" s="18" t="s">
        <v>65</v>
      </c>
      <c r="B49" s="5" t="s">
        <v>68</v>
      </c>
      <c r="C49" s="6">
        <v>1.2202787399291992</v>
      </c>
      <c r="D49" s="7">
        <v>3.2995483875274658</v>
      </c>
      <c r="E49" s="7">
        <v>6.1449475288391113</v>
      </c>
      <c r="F49" s="7">
        <v>0.65469175577163696</v>
      </c>
      <c r="G49" s="7">
        <v>2.6448566913604736</v>
      </c>
      <c r="H49" s="7">
        <v>2.8453991413116455</v>
      </c>
      <c r="I49" s="8">
        <v>1.8623602390289307</v>
      </c>
      <c r="J49" s="8">
        <v>0.80158144235610962</v>
      </c>
      <c r="K49" s="9"/>
      <c r="L49" t="s">
        <v>124</v>
      </c>
      <c r="M49">
        <v>1</v>
      </c>
      <c r="N49" s="19">
        <f t="shared" si="8"/>
        <v>0.97248525299707234</v>
      </c>
      <c r="O49" s="19">
        <f t="shared" si="9"/>
        <v>0.96683775146686535</v>
      </c>
    </row>
    <row r="50" spans="1:15" ht="22" thickBot="1" x14ac:dyDescent="0.25">
      <c r="A50" s="18" t="s">
        <v>65</v>
      </c>
      <c r="B50" s="5" t="s">
        <v>69</v>
      </c>
      <c r="C50" s="6">
        <v>1.2844624519348145</v>
      </c>
      <c r="D50" s="7">
        <v>3.5874865055084229</v>
      </c>
      <c r="E50" s="7">
        <v>6.7731199264526367</v>
      </c>
      <c r="F50" s="7">
        <v>0.81495589017868042</v>
      </c>
      <c r="G50" s="7">
        <v>2.7725305557250977</v>
      </c>
      <c r="H50" s="7">
        <v>3.1856334209442139</v>
      </c>
      <c r="I50" s="8">
        <v>1.8879847526550293</v>
      </c>
      <c r="J50" s="8">
        <v>0.77283370494842529</v>
      </c>
      <c r="K50" s="9"/>
      <c r="L50" t="s">
        <v>123</v>
      </c>
      <c r="M50">
        <v>1</v>
      </c>
      <c r="N50" s="19">
        <f t="shared" si="8"/>
        <v>1.0194295546272218</v>
      </c>
      <c r="O50" s="19">
        <f t="shared" si="9"/>
        <v>1.0512097351003353</v>
      </c>
    </row>
    <row r="51" spans="1:15" ht="22" thickBot="1" x14ac:dyDescent="0.25">
      <c r="A51" s="18" t="s">
        <v>65</v>
      </c>
      <c r="B51" s="11" t="s">
        <v>70</v>
      </c>
      <c r="C51" s="12">
        <v>1.6075825691223145</v>
      </c>
      <c r="D51" s="13">
        <v>3.342970609664917</v>
      </c>
      <c r="E51" s="13">
        <v>5.0672497749328613</v>
      </c>
      <c r="F51" s="13">
        <v>0.65504974126815796</v>
      </c>
      <c r="G51" s="13">
        <v>2.6879208087921143</v>
      </c>
      <c r="H51" s="13">
        <v>1.7242791652679443</v>
      </c>
      <c r="I51" s="14">
        <v>1.5157924890518188</v>
      </c>
      <c r="J51" s="14">
        <v>0.80405157804489136</v>
      </c>
      <c r="K51" s="15"/>
      <c r="L51" t="s">
        <v>123</v>
      </c>
      <c r="M51">
        <v>1</v>
      </c>
      <c r="N51" s="19">
        <f>G51/AVERAGE(G$42:G$46)</f>
        <v>0.98831946408019256</v>
      </c>
      <c r="O51" s="19">
        <f>D51/AVERAGE(D$42:D$46)</f>
        <v>0.97956138472945486</v>
      </c>
    </row>
    <row r="52" spans="1:15" ht="19" customHeight="1" thickBot="1" x14ac:dyDescent="0.3">
      <c r="A52" s="18" t="s">
        <v>71</v>
      </c>
      <c r="B52" s="5" t="s">
        <v>72</v>
      </c>
      <c r="C52" s="6">
        <v>1.10988450050354</v>
      </c>
      <c r="D52" s="7">
        <v>3.7561171054840088</v>
      </c>
      <c r="E52" s="7">
        <v>7.6384177207946777</v>
      </c>
      <c r="F52" s="7">
        <v>0.3113657534122467</v>
      </c>
      <c r="G52" s="7">
        <v>3.4447512626647949</v>
      </c>
      <c r="H52" s="7">
        <v>3.8823006153106689</v>
      </c>
      <c r="I52" s="8">
        <v>2.0335941314697266</v>
      </c>
      <c r="J52" s="8">
        <v>0.91710430383682251</v>
      </c>
      <c r="K52" s="9"/>
      <c r="L52" t="s">
        <v>129</v>
      </c>
      <c r="M52" s="10">
        <v>0</v>
      </c>
      <c r="N52">
        <v>0</v>
      </c>
      <c r="O52">
        <v>0</v>
      </c>
    </row>
    <row r="53" spans="1:15" ht="22" thickBot="1" x14ac:dyDescent="0.25">
      <c r="A53" s="18" t="s">
        <v>71</v>
      </c>
      <c r="B53" s="5" t="s">
        <v>73</v>
      </c>
      <c r="C53" s="6">
        <v>1.2125445604324341</v>
      </c>
      <c r="D53" s="7">
        <v>3.9525094032287598</v>
      </c>
      <c r="E53" s="7">
        <v>9.9983797073364258</v>
      </c>
      <c r="F53" s="7">
        <v>0.90017604827880859</v>
      </c>
      <c r="G53" s="7">
        <v>3.0523333549499512</v>
      </c>
      <c r="H53" s="7">
        <v>6.045870304107666</v>
      </c>
      <c r="I53" s="8">
        <v>2.5296282768249512</v>
      </c>
      <c r="J53" s="8">
        <v>0.77225202322006226</v>
      </c>
      <c r="K53" s="9"/>
      <c r="L53" t="s">
        <v>124</v>
      </c>
      <c r="M53">
        <v>0</v>
      </c>
      <c r="N53">
        <v>0</v>
      </c>
      <c r="O53">
        <v>0</v>
      </c>
    </row>
    <row r="54" spans="1:15" ht="22" thickBot="1" x14ac:dyDescent="0.25">
      <c r="A54" s="18" t="s">
        <v>71</v>
      </c>
      <c r="B54" s="5" t="s">
        <v>74</v>
      </c>
      <c r="C54" s="6">
        <v>0.94208407402038574</v>
      </c>
      <c r="D54" s="7">
        <v>4.0001301765441895</v>
      </c>
      <c r="E54" s="7">
        <v>6.3894295692443848</v>
      </c>
      <c r="F54" s="7">
        <v>0.86612135171890259</v>
      </c>
      <c r="G54" s="7">
        <v>3.1340088844299316</v>
      </c>
      <c r="H54" s="7">
        <v>2.3892993927001953</v>
      </c>
      <c r="I54" s="8">
        <v>1.5973054170608521</v>
      </c>
      <c r="J54" s="8">
        <v>0.78347671031951904</v>
      </c>
      <c r="K54" s="9"/>
      <c r="L54" t="s">
        <v>123</v>
      </c>
      <c r="M54">
        <v>0</v>
      </c>
      <c r="N54">
        <v>0</v>
      </c>
      <c r="O54">
        <v>0</v>
      </c>
    </row>
    <row r="55" spans="1:15" ht="22" thickBot="1" x14ac:dyDescent="0.25">
      <c r="A55" s="18" t="s">
        <v>71</v>
      </c>
      <c r="B55" s="11" t="s">
        <v>75</v>
      </c>
      <c r="C55" s="12">
        <v>1.0099178552627563</v>
      </c>
      <c r="D55" s="13">
        <v>3.3580367565155029</v>
      </c>
      <c r="E55" s="13">
        <v>5.6414628028869629</v>
      </c>
      <c r="F55" s="13">
        <v>0.76545721292495728</v>
      </c>
      <c r="G55" s="13">
        <v>2.5925796031951904</v>
      </c>
      <c r="H55" s="13">
        <v>2.28342604637146</v>
      </c>
      <c r="I55" s="14">
        <v>1.6799883842468262</v>
      </c>
      <c r="J55" s="14">
        <v>0.77205216884613037</v>
      </c>
      <c r="K55" s="15"/>
      <c r="L55" t="s">
        <v>129</v>
      </c>
      <c r="M55">
        <v>0</v>
      </c>
      <c r="N55">
        <v>0</v>
      </c>
      <c r="O55">
        <v>0</v>
      </c>
    </row>
    <row r="56" spans="1:15" ht="19" customHeight="1" thickBot="1" x14ac:dyDescent="0.3">
      <c r="A56" s="18" t="s">
        <v>76</v>
      </c>
      <c r="B56" s="5" t="s">
        <v>77</v>
      </c>
      <c r="C56" s="6">
        <v>1.1116631031036377</v>
      </c>
      <c r="D56" s="7">
        <v>3.5580859184265137</v>
      </c>
      <c r="E56" s="7">
        <v>7.6311793327331543</v>
      </c>
      <c r="F56" s="7">
        <v>0.7306554913520813</v>
      </c>
      <c r="G56" s="7">
        <v>2.8274304866790771</v>
      </c>
      <c r="H56" s="7">
        <v>4.0730934143066406</v>
      </c>
      <c r="I56" s="8">
        <v>2.1447429656982422</v>
      </c>
      <c r="J56" s="8">
        <v>0.79464930295944214</v>
      </c>
      <c r="K56" s="9"/>
      <c r="L56" t="s">
        <v>123</v>
      </c>
      <c r="M56" s="10">
        <v>1</v>
      </c>
      <c r="N56" s="19">
        <f>G56/AVERAGE(G$52:G$55)</f>
        <v>0.92523105365671299</v>
      </c>
      <c r="O56" s="19">
        <f>D56/AVERAGE(D$52:D$55)</f>
        <v>0.94461663184729761</v>
      </c>
    </row>
    <row r="57" spans="1:15" ht="22" thickBot="1" x14ac:dyDescent="0.25">
      <c r="A57" s="18" t="s">
        <v>76</v>
      </c>
      <c r="B57" s="5" t="s">
        <v>78</v>
      </c>
      <c r="C57" s="6">
        <v>1.2119705677032471</v>
      </c>
      <c r="D57" s="7">
        <v>4.2206287384033203</v>
      </c>
      <c r="E57" s="7">
        <v>7.5563259124755859</v>
      </c>
      <c r="F57" s="7">
        <v>0.97609657049179077</v>
      </c>
      <c r="G57" s="7">
        <v>3.2445321083068848</v>
      </c>
      <c r="H57" s="7">
        <v>3.3356971740722656</v>
      </c>
      <c r="I57" s="8">
        <v>1.7903318405151367</v>
      </c>
      <c r="J57" s="8">
        <v>0.76873195171356201</v>
      </c>
      <c r="K57" s="9"/>
      <c r="L57" t="s">
        <v>123</v>
      </c>
      <c r="M57">
        <v>1</v>
      </c>
      <c r="N57" s="19">
        <f t="shared" ref="N57:N58" si="10">G57/AVERAGE(G$52:G$55)</f>
        <v>1.0617208364042607</v>
      </c>
      <c r="O57" s="19">
        <f t="shared" ref="O57:O58" si="11">D57/AVERAGE(D$52:D$55)</f>
        <v>1.120511475707018</v>
      </c>
    </row>
    <row r="58" spans="1:15" ht="22" thickBot="1" x14ac:dyDescent="0.25">
      <c r="A58" s="18" t="s">
        <v>76</v>
      </c>
      <c r="B58" s="5" t="s">
        <v>79</v>
      </c>
      <c r="C58" s="6">
        <v>0.95497947931289673</v>
      </c>
      <c r="D58" s="7">
        <v>3.3884267807006836</v>
      </c>
      <c r="E58" s="7">
        <v>6.7935209274291992</v>
      </c>
      <c r="F58" s="7">
        <v>0.73166459798812866</v>
      </c>
      <c r="G58" s="7">
        <v>2.6567621231079102</v>
      </c>
      <c r="H58" s="7">
        <v>3.4050941467285156</v>
      </c>
      <c r="I58" s="8">
        <v>2.0049188137054443</v>
      </c>
      <c r="J58" s="8">
        <v>0.78406953811645508</v>
      </c>
      <c r="K58" s="9"/>
      <c r="L58" t="s">
        <v>123</v>
      </c>
      <c r="M58">
        <v>1</v>
      </c>
      <c r="N58" s="19">
        <f t="shared" si="10"/>
        <v>0.86938258254600986</v>
      </c>
      <c r="O58" s="19">
        <f t="shared" si="11"/>
        <v>0.89957476188830487</v>
      </c>
    </row>
    <row r="59" spans="1:15" ht="22" thickBot="1" x14ac:dyDescent="0.25">
      <c r="A59" s="18" t="s">
        <v>76</v>
      </c>
      <c r="B59" s="11" t="s">
        <v>80</v>
      </c>
      <c r="C59" s="12">
        <v>1.0705711841583252</v>
      </c>
      <c r="D59" s="13">
        <v>3.4760711193084717</v>
      </c>
      <c r="E59" s="13">
        <v>6.1136274337768555</v>
      </c>
      <c r="F59" s="13">
        <v>0.72601556777954102</v>
      </c>
      <c r="G59" s="13">
        <v>2.7500555515289307</v>
      </c>
      <c r="H59" s="13">
        <v>2.6375563144683838</v>
      </c>
      <c r="I59" s="14">
        <v>1.7587751150131226</v>
      </c>
      <c r="J59" s="14">
        <v>0.79113900661468506</v>
      </c>
      <c r="K59" s="15"/>
      <c r="L59" t="s">
        <v>123</v>
      </c>
      <c r="M59">
        <v>1</v>
      </c>
      <c r="N59" s="19">
        <f>G59/AVERAGE(G$52:G$55)</f>
        <v>0.89991135327402583</v>
      </c>
      <c r="O59" s="19">
        <f>D59/AVERAGE(D$52:D$55)</f>
        <v>0.92284297458306319</v>
      </c>
    </row>
    <row r="60" spans="1:15" ht="19" customHeight="1" thickBot="1" x14ac:dyDescent="0.3">
      <c r="A60" s="18" t="s">
        <v>81</v>
      </c>
      <c r="B60" s="5" t="s">
        <v>82</v>
      </c>
      <c r="C60" s="6">
        <v>1.1579023599624634</v>
      </c>
      <c r="D60" s="7">
        <v>3.8275136947631836</v>
      </c>
      <c r="E60" s="7">
        <v>7.0842442512512207</v>
      </c>
      <c r="F60" s="7">
        <v>0.50986921787261963</v>
      </c>
      <c r="G60" s="7">
        <v>3.3176445960998535</v>
      </c>
      <c r="H60" s="7">
        <v>3.2567305564880371</v>
      </c>
      <c r="I60" s="8">
        <v>1.8508737087249756</v>
      </c>
      <c r="J60" s="8">
        <v>0.86678844690322876</v>
      </c>
      <c r="K60" s="9"/>
      <c r="L60" t="s">
        <v>124</v>
      </c>
      <c r="M60" s="10">
        <v>0</v>
      </c>
      <c r="N60">
        <v>0</v>
      </c>
      <c r="O60">
        <v>0</v>
      </c>
    </row>
    <row r="61" spans="1:15" ht="22" thickBot="1" x14ac:dyDescent="0.25">
      <c r="A61" s="18" t="s">
        <v>81</v>
      </c>
      <c r="B61" s="5" t="s">
        <v>83</v>
      </c>
      <c r="C61" s="6">
        <v>0.92778563499450684</v>
      </c>
      <c r="D61" s="7">
        <v>3.3468890190124512</v>
      </c>
      <c r="E61" s="7">
        <v>6.3454198837280273</v>
      </c>
      <c r="F61" s="7">
        <v>0.54362386465072632</v>
      </c>
      <c r="G61" s="7">
        <v>2.8032650947570801</v>
      </c>
      <c r="H61" s="7">
        <v>2.9985308647155762</v>
      </c>
      <c r="I61" s="8">
        <v>1.8959158658981323</v>
      </c>
      <c r="J61" s="8">
        <v>0.8375733494758606</v>
      </c>
      <c r="K61" s="9"/>
      <c r="L61" t="s">
        <v>123</v>
      </c>
      <c r="M61">
        <v>0</v>
      </c>
      <c r="N61">
        <v>0</v>
      </c>
      <c r="O61">
        <v>0</v>
      </c>
    </row>
    <row r="62" spans="1:15" ht="22" thickBot="1" x14ac:dyDescent="0.25">
      <c r="A62" s="18" t="s">
        <v>81</v>
      </c>
      <c r="B62" s="5" t="s">
        <v>84</v>
      </c>
      <c r="C62" s="6">
        <v>0.93074136972427368</v>
      </c>
      <c r="D62" s="7">
        <v>3.4402065277099609</v>
      </c>
      <c r="E62" s="7">
        <v>6.3953886032104492</v>
      </c>
      <c r="F62" s="7">
        <v>0.60150825977325439</v>
      </c>
      <c r="G62" s="7">
        <v>2.8386983871459961</v>
      </c>
      <c r="H62" s="7">
        <v>2.9551820755004883</v>
      </c>
      <c r="I62" s="8">
        <v>1.8590129613876343</v>
      </c>
      <c r="J62" s="8">
        <v>0.82515347003936768</v>
      </c>
      <c r="K62" s="9"/>
      <c r="L62" t="s">
        <v>123</v>
      </c>
      <c r="M62">
        <v>0</v>
      </c>
      <c r="N62">
        <v>0</v>
      </c>
      <c r="O62">
        <v>0</v>
      </c>
    </row>
    <row r="63" spans="1:15" ht="22" thickBot="1" x14ac:dyDescent="0.25">
      <c r="A63" s="18" t="s">
        <v>81</v>
      </c>
      <c r="B63" s="11" t="s">
        <v>85</v>
      </c>
      <c r="C63" s="12">
        <v>1.0452505350112915</v>
      </c>
      <c r="D63" s="13">
        <v>3.3401134014129639</v>
      </c>
      <c r="E63" s="13">
        <v>5.8907608985900879</v>
      </c>
      <c r="F63" s="13">
        <v>0.6054617166519165</v>
      </c>
      <c r="G63" s="13">
        <v>2.7346515655517578</v>
      </c>
      <c r="H63" s="13">
        <v>2.550647497177124</v>
      </c>
      <c r="I63" s="14">
        <v>1.7636409997940063</v>
      </c>
      <c r="J63" s="14">
        <v>0.81873017549514771</v>
      </c>
      <c r="K63" s="15"/>
      <c r="L63" t="s">
        <v>123</v>
      </c>
      <c r="M63">
        <v>0</v>
      </c>
      <c r="N63">
        <v>0</v>
      </c>
      <c r="O63">
        <v>0</v>
      </c>
    </row>
    <row r="64" spans="1:15" ht="19" customHeight="1" thickBot="1" x14ac:dyDescent="0.3">
      <c r="A64" s="18" t="s">
        <v>86</v>
      </c>
      <c r="B64" s="5" t="s">
        <v>87</v>
      </c>
      <c r="C64" s="6">
        <v>1.0267007350921631</v>
      </c>
      <c r="D64" s="7">
        <v>3.5804343223571777</v>
      </c>
      <c r="E64" s="7">
        <v>7.0215635299682617</v>
      </c>
      <c r="F64" s="7">
        <v>0.6745339035987854</v>
      </c>
      <c r="G64" s="7">
        <v>2.9059004783630371</v>
      </c>
      <c r="H64" s="7">
        <v>3.441129207611084</v>
      </c>
      <c r="I64" s="8">
        <v>1.9610927104949951</v>
      </c>
      <c r="J64" s="8">
        <v>0.81160557270050049</v>
      </c>
      <c r="K64" s="9"/>
      <c r="L64" t="s">
        <v>124</v>
      </c>
      <c r="M64" s="10">
        <v>1</v>
      </c>
      <c r="N64" s="19">
        <f>G64/AVERAGE(G$60:G$63)</f>
        <v>0.99395791334755579</v>
      </c>
      <c r="O64" s="19">
        <f>D64/AVERAGE(D$60:D$63)</f>
        <v>1.0263003899054146</v>
      </c>
    </row>
    <row r="65" spans="1:15" ht="22" thickBot="1" x14ac:dyDescent="0.25">
      <c r="A65" s="18" t="s">
        <v>86</v>
      </c>
      <c r="B65" s="5" t="s">
        <v>88</v>
      </c>
      <c r="C65" s="6">
        <v>0.9749525785446167</v>
      </c>
      <c r="D65" s="7">
        <v>3.4358103275299072</v>
      </c>
      <c r="E65" s="7">
        <v>6.7139902114868164</v>
      </c>
      <c r="F65" s="7">
        <v>0.58783817291259766</v>
      </c>
      <c r="G65" s="7">
        <v>2.8479721546173096</v>
      </c>
      <c r="H65" s="7">
        <v>3.2781798839569092</v>
      </c>
      <c r="I65" s="8">
        <v>1.9541213512420654</v>
      </c>
      <c r="J65" s="8">
        <v>0.82890844345092773</v>
      </c>
      <c r="K65" s="9"/>
      <c r="L65" t="s">
        <v>123</v>
      </c>
      <c r="M65">
        <v>1</v>
      </c>
      <c r="N65" s="19">
        <f t="shared" ref="N65:N66" si="12">G65/AVERAGE(G$60:G$63)</f>
        <v>0.97414363676694138</v>
      </c>
      <c r="O65" s="19">
        <f t="shared" ref="O65:O66" si="13">D65/AVERAGE(D$60:D$63)</f>
        <v>0.98484517835354102</v>
      </c>
    </row>
    <row r="66" spans="1:15" ht="22" thickBot="1" x14ac:dyDescent="0.25">
      <c r="A66" s="18" t="s">
        <v>86</v>
      </c>
      <c r="B66" s="5" t="s">
        <v>89</v>
      </c>
      <c r="C66" s="6">
        <v>1.1146094799041748</v>
      </c>
      <c r="D66" s="7">
        <v>3.2903792858123779</v>
      </c>
      <c r="E66" s="7">
        <v>6.5582270622253418</v>
      </c>
      <c r="F66" s="7">
        <v>0.67758500576019287</v>
      </c>
      <c r="G66" s="7">
        <v>2.6127943992614746</v>
      </c>
      <c r="H66" s="7">
        <v>3.2678477764129639</v>
      </c>
      <c r="I66" s="8">
        <v>1.9931522607803345</v>
      </c>
      <c r="J66" s="8">
        <v>0.79407089948654175</v>
      </c>
      <c r="K66" s="9"/>
      <c r="L66" t="s">
        <v>129</v>
      </c>
      <c r="M66">
        <v>1</v>
      </c>
      <c r="N66" s="19">
        <f t="shared" si="12"/>
        <v>0.89370151814664767</v>
      </c>
      <c r="O66" s="19">
        <f t="shared" si="13"/>
        <v>0.94315863382260035</v>
      </c>
    </row>
    <row r="67" spans="1:15" ht="22" thickBot="1" x14ac:dyDescent="0.25">
      <c r="A67" s="18" t="s">
        <v>86</v>
      </c>
      <c r="B67" s="11" t="s">
        <v>90</v>
      </c>
      <c r="C67" s="12">
        <v>0.91720908880233765</v>
      </c>
      <c r="D67" s="13">
        <v>3.0830514430999756</v>
      </c>
      <c r="E67" s="13">
        <v>5.9646549224853516</v>
      </c>
      <c r="F67" s="13">
        <v>0.49351677298545837</v>
      </c>
      <c r="G67" s="13">
        <v>2.5895347595214844</v>
      </c>
      <c r="H67" s="13">
        <v>2.881603479385376</v>
      </c>
      <c r="I67" s="14">
        <v>1.9346596002578735</v>
      </c>
      <c r="J67" s="14">
        <v>0.83992588520050049</v>
      </c>
      <c r="K67" s="15"/>
      <c r="L67" t="s">
        <v>124</v>
      </c>
      <c r="M67">
        <v>1</v>
      </c>
      <c r="N67" s="19">
        <f>G67/AVERAGE(G$60:G$63)</f>
        <v>0.8857456011586714</v>
      </c>
      <c r="O67" s="19">
        <f>D67/AVERAGE(D$60:D$63)</f>
        <v>0.88372990907674243</v>
      </c>
    </row>
    <row r="68" spans="1:15" ht="19" customHeight="1" thickBot="1" x14ac:dyDescent="0.3">
      <c r="A68" s="18" t="s">
        <v>91</v>
      </c>
      <c r="B68" s="5" t="s">
        <v>92</v>
      </c>
      <c r="C68" s="6">
        <v>1.5681102275848389</v>
      </c>
      <c r="D68" s="7">
        <v>3.9367241859436035</v>
      </c>
      <c r="E68" s="7">
        <v>7.5155010223388672</v>
      </c>
      <c r="F68" s="7">
        <v>0.37658175826072693</v>
      </c>
      <c r="G68" s="7">
        <v>3.5601425170898438</v>
      </c>
      <c r="H68" s="7">
        <v>3.5787768363952637</v>
      </c>
      <c r="I68" s="8">
        <v>1.9090747833251953</v>
      </c>
      <c r="J68" s="8">
        <v>0.90434134006500244</v>
      </c>
      <c r="K68" s="9"/>
      <c r="L68" t="s">
        <v>123</v>
      </c>
      <c r="M68" s="10">
        <v>0</v>
      </c>
      <c r="N68">
        <v>0</v>
      </c>
      <c r="O68">
        <v>0</v>
      </c>
    </row>
    <row r="69" spans="1:15" ht="22" thickBot="1" x14ac:dyDescent="0.25">
      <c r="A69" s="18" t="s">
        <v>91</v>
      </c>
      <c r="B69" s="5" t="s">
        <v>93</v>
      </c>
      <c r="C69" s="6">
        <v>1.1402771472930908</v>
      </c>
      <c r="D69" s="7">
        <v>4.7634224891662598</v>
      </c>
      <c r="E69" s="7">
        <v>9.0679540634155273</v>
      </c>
      <c r="F69" s="7">
        <v>0.85813683271408081</v>
      </c>
      <c r="G69" s="7">
        <v>3.9052855968475342</v>
      </c>
      <c r="H69" s="7">
        <v>4.3045315742492676</v>
      </c>
      <c r="I69" s="8">
        <v>1.9036636352539062</v>
      </c>
      <c r="J69" s="8">
        <v>0.81984865665435791</v>
      </c>
      <c r="K69" s="9"/>
      <c r="L69" t="s">
        <v>123</v>
      </c>
      <c r="M69">
        <v>0</v>
      </c>
      <c r="N69">
        <v>0</v>
      </c>
      <c r="O69">
        <v>0</v>
      </c>
    </row>
    <row r="70" spans="1:15" ht="22" thickBot="1" x14ac:dyDescent="0.25">
      <c r="A70" s="18" t="s">
        <v>91</v>
      </c>
      <c r="B70" s="5" t="s">
        <v>94</v>
      </c>
      <c r="C70" s="6">
        <v>1.3720207214355469</v>
      </c>
      <c r="D70" s="7">
        <v>4.3918857574462891</v>
      </c>
      <c r="E70" s="7">
        <v>4.9133548736572266</v>
      </c>
      <c r="F70" s="7">
        <v>2.7097632884979248</v>
      </c>
      <c r="G70" s="7">
        <v>1.6821224689483643</v>
      </c>
      <c r="H70" s="7">
        <v>0.5214691162109375</v>
      </c>
      <c r="I70" s="8">
        <v>1.1187347173690796</v>
      </c>
      <c r="J70" s="8">
        <v>0.38300687074661255</v>
      </c>
      <c r="K70" s="9"/>
      <c r="L70" t="s">
        <v>123</v>
      </c>
      <c r="M70">
        <v>0</v>
      </c>
      <c r="N70">
        <v>0</v>
      </c>
      <c r="O70">
        <v>0</v>
      </c>
    </row>
    <row r="71" spans="1:15" ht="22" thickBot="1" x14ac:dyDescent="0.25">
      <c r="A71" s="18" t="s">
        <v>91</v>
      </c>
      <c r="B71" s="5" t="s">
        <v>95</v>
      </c>
      <c r="C71" s="6">
        <v>0.97588962316513062</v>
      </c>
      <c r="D71" s="7">
        <v>4.3154892921447754</v>
      </c>
      <c r="E71" s="7">
        <v>6.7869653701782227</v>
      </c>
      <c r="F71" s="7">
        <v>0.83337187767028809</v>
      </c>
      <c r="G71" s="7">
        <v>3.4821174144744873</v>
      </c>
      <c r="H71" s="7">
        <v>2.4714760780334473</v>
      </c>
      <c r="I71" s="8">
        <v>1.5726989507675171</v>
      </c>
      <c r="J71" s="8">
        <v>0.80688822269439697</v>
      </c>
      <c r="K71" s="9"/>
      <c r="L71" t="s">
        <v>123</v>
      </c>
      <c r="M71">
        <v>0</v>
      </c>
      <c r="N71">
        <v>0</v>
      </c>
      <c r="O71">
        <v>0</v>
      </c>
    </row>
    <row r="72" spans="1:15" ht="22" thickBot="1" x14ac:dyDescent="0.25">
      <c r="A72" s="18" t="s">
        <v>91</v>
      </c>
      <c r="B72" s="11" t="s">
        <v>96</v>
      </c>
      <c r="C72" s="12">
        <v>0.9847644567489624</v>
      </c>
      <c r="D72" s="13">
        <v>4.3859953880310059</v>
      </c>
      <c r="E72" s="13">
        <v>7.787865161895752</v>
      </c>
      <c r="F72" s="13">
        <v>0.83069920539855957</v>
      </c>
      <c r="G72" s="13">
        <v>3.5552961826324463</v>
      </c>
      <c r="H72" s="13">
        <v>3.4018697738647461</v>
      </c>
      <c r="I72" s="14">
        <v>1.7756209373474121</v>
      </c>
      <c r="J72" s="14">
        <v>0.81060189008712769</v>
      </c>
      <c r="K72" s="15"/>
      <c r="L72" t="s">
        <v>123</v>
      </c>
      <c r="M72">
        <v>0</v>
      </c>
      <c r="N72">
        <v>0</v>
      </c>
      <c r="O72">
        <v>0</v>
      </c>
    </row>
    <row r="73" spans="1:15" ht="19" customHeight="1" thickBot="1" x14ac:dyDescent="0.3">
      <c r="A73" s="18" t="s">
        <v>97</v>
      </c>
      <c r="B73" s="5" t="s">
        <v>98</v>
      </c>
      <c r="C73" s="6">
        <v>0.97054338455200195</v>
      </c>
      <c r="D73" s="7">
        <v>4.0649361610412598</v>
      </c>
      <c r="E73" s="7">
        <v>7.7090544700622559</v>
      </c>
      <c r="F73" s="7">
        <v>0.76118087768554688</v>
      </c>
      <c r="G73" s="7">
        <v>3.3037552833557129</v>
      </c>
      <c r="H73" s="7">
        <v>3.6441183090209961</v>
      </c>
      <c r="I73" s="8">
        <v>1.896476149559021</v>
      </c>
      <c r="J73" s="8">
        <v>0.81274467706680298</v>
      </c>
      <c r="K73" s="9"/>
      <c r="L73" t="s">
        <v>123</v>
      </c>
      <c r="M73" s="10">
        <v>1</v>
      </c>
      <c r="N73" s="19">
        <f>G73/AVERAGE(G$68:G$72)</f>
        <v>1.0206248363032238</v>
      </c>
      <c r="O73" s="19">
        <f>D73/AVERAGE(D$68:D$72)</f>
        <v>0.93260214494394167</v>
      </c>
    </row>
    <row r="74" spans="1:15" ht="22" thickBot="1" x14ac:dyDescent="0.25">
      <c r="A74" s="18" t="s">
        <v>97</v>
      </c>
      <c r="B74" s="5" t="s">
        <v>99</v>
      </c>
      <c r="C74" s="6">
        <v>1.0563907623291016</v>
      </c>
      <c r="D74" s="7">
        <v>4.0669779777526855</v>
      </c>
      <c r="E74" s="7">
        <v>7.3494758605957031</v>
      </c>
      <c r="F74" s="7">
        <v>0.81395816802978516</v>
      </c>
      <c r="G74" s="7">
        <v>3.2530198097229004</v>
      </c>
      <c r="H74" s="7">
        <v>3.2824978828430176</v>
      </c>
      <c r="I74" s="8">
        <v>1.8071098327636719</v>
      </c>
      <c r="J74" s="8">
        <v>0.79986166954040527</v>
      </c>
      <c r="K74" s="9"/>
      <c r="L74" t="s">
        <v>123</v>
      </c>
      <c r="M74">
        <v>1</v>
      </c>
      <c r="N74" s="19">
        <f t="shared" ref="N74:N76" si="14">G74/AVERAGE(G$68:G$72)</f>
        <v>1.0049511922133807</v>
      </c>
      <c r="O74" s="19">
        <f t="shared" ref="O74:O76" si="15">D74/AVERAGE(D$68:D$72)</f>
        <v>0.93307059083564059</v>
      </c>
    </row>
    <row r="75" spans="1:15" ht="22" thickBot="1" x14ac:dyDescent="0.25">
      <c r="A75" s="18" t="s">
        <v>97</v>
      </c>
      <c r="B75" s="5" t="s">
        <v>100</v>
      </c>
      <c r="C75" s="6">
        <v>0.98781317472457886</v>
      </c>
      <c r="D75" s="7">
        <v>3.9178409576416016</v>
      </c>
      <c r="E75" s="7">
        <v>7.8282151222229004</v>
      </c>
      <c r="F75" s="7">
        <v>0.69991195201873779</v>
      </c>
      <c r="G75" s="7">
        <v>3.2179288864135742</v>
      </c>
      <c r="H75" s="7">
        <v>3.9103741645812988</v>
      </c>
      <c r="I75" s="8">
        <v>1.9980942010879517</v>
      </c>
      <c r="J75" s="8">
        <v>0.82135260105133057</v>
      </c>
      <c r="K75" s="9"/>
      <c r="L75" t="s">
        <v>123</v>
      </c>
      <c r="M75">
        <v>1</v>
      </c>
      <c r="N75" s="19">
        <f t="shared" si="14"/>
        <v>0.99411059877150454</v>
      </c>
      <c r="O75" s="19">
        <f t="shared" si="15"/>
        <v>0.89885467714450962</v>
      </c>
    </row>
    <row r="76" spans="1:15" ht="22" thickBot="1" x14ac:dyDescent="0.25">
      <c r="A76" s="18" t="s">
        <v>97</v>
      </c>
      <c r="B76" s="5" t="s">
        <v>101</v>
      </c>
      <c r="C76" s="6">
        <v>0.99509930610656738</v>
      </c>
      <c r="D76" s="7">
        <v>3.5641894340515137</v>
      </c>
      <c r="E76" s="7">
        <v>6.9195094108581543</v>
      </c>
      <c r="F76" s="7">
        <v>0.54675239324569702</v>
      </c>
      <c r="G76" s="7">
        <v>3.0174369812011719</v>
      </c>
      <c r="H76" s="7">
        <v>3.3553199768066406</v>
      </c>
      <c r="I76" s="8">
        <v>1.9413977861404419</v>
      </c>
      <c r="J76" s="8">
        <v>0.84659838676452637</v>
      </c>
      <c r="K76" s="9"/>
      <c r="L76" t="s">
        <v>123</v>
      </c>
      <c r="M76">
        <v>1</v>
      </c>
      <c r="N76" s="19">
        <f t="shared" si="14"/>
        <v>0.93217289443594475</v>
      </c>
      <c r="O76" s="19">
        <f t="shared" si="15"/>
        <v>0.817717813883581</v>
      </c>
    </row>
    <row r="77" spans="1:15" ht="22" thickBot="1" x14ac:dyDescent="0.25">
      <c r="A77" s="18" t="s">
        <v>97</v>
      </c>
      <c r="B77" s="11" t="s">
        <v>102</v>
      </c>
      <c r="C77" s="12">
        <v>1.0661312341690063</v>
      </c>
      <c r="D77" s="13">
        <v>3.3042566776275635</v>
      </c>
      <c r="E77" s="13">
        <v>6.9109735488891602</v>
      </c>
      <c r="F77" s="13">
        <v>0.53665757179260254</v>
      </c>
      <c r="G77" s="13">
        <v>2.7675991058349609</v>
      </c>
      <c r="H77" s="13">
        <v>3.6067168712615967</v>
      </c>
      <c r="I77" s="14">
        <v>2.0915365219116211</v>
      </c>
      <c r="J77" s="14">
        <v>0.83758598566055298</v>
      </c>
      <c r="K77" s="15"/>
      <c r="L77" t="s">
        <v>124</v>
      </c>
      <c r="M77">
        <v>1</v>
      </c>
      <c r="N77" s="19">
        <f>G77/AVERAGE(G$68:G$72)</f>
        <v>0.85499080351879198</v>
      </c>
      <c r="O77" s="19">
        <f>D77/AVERAGE(D$68:D$72)</f>
        <v>0.75808247483312197</v>
      </c>
    </row>
    <row r="78" spans="1:15" ht="19" customHeight="1" thickBot="1" x14ac:dyDescent="0.3">
      <c r="A78" s="18" t="s">
        <v>103</v>
      </c>
      <c r="B78" s="5" t="s">
        <v>104</v>
      </c>
      <c r="C78" s="6">
        <v>1.1496902704238892</v>
      </c>
      <c r="D78" s="7">
        <v>3.761310338973999</v>
      </c>
      <c r="E78" s="7">
        <v>5.9472236633300781</v>
      </c>
      <c r="F78" s="7">
        <v>0.64672368764877319</v>
      </c>
      <c r="G78" s="7">
        <v>3.1145865917205811</v>
      </c>
      <c r="H78" s="7">
        <v>2.1859133243560791</v>
      </c>
      <c r="I78" s="8">
        <v>1.5811574459075928</v>
      </c>
      <c r="J78" s="8">
        <v>0.82805889844894409</v>
      </c>
      <c r="K78" s="9"/>
      <c r="L78" t="s">
        <v>123</v>
      </c>
      <c r="M78" s="10">
        <v>0</v>
      </c>
      <c r="N78">
        <v>0</v>
      </c>
      <c r="O78">
        <v>0</v>
      </c>
    </row>
    <row r="79" spans="1:15" ht="22" thickBot="1" x14ac:dyDescent="0.25">
      <c r="A79" s="18" t="s">
        <v>103</v>
      </c>
      <c r="B79" s="5" t="s">
        <v>105</v>
      </c>
      <c r="C79" s="6">
        <v>0.98038512468338013</v>
      </c>
      <c r="D79" s="7">
        <v>4.1304798126220703</v>
      </c>
      <c r="E79" s="7">
        <v>7.1761188507080078</v>
      </c>
      <c r="F79" s="7">
        <v>0.89503097534179688</v>
      </c>
      <c r="G79" s="7">
        <v>3.2354488372802734</v>
      </c>
      <c r="H79" s="7">
        <v>3.0456390380859375</v>
      </c>
      <c r="I79" s="8">
        <v>1.7373572587966919</v>
      </c>
      <c r="J79" s="8">
        <v>0.7833106517791748</v>
      </c>
      <c r="K79" s="9"/>
      <c r="L79" t="s">
        <v>123</v>
      </c>
      <c r="M79">
        <v>0</v>
      </c>
      <c r="N79">
        <v>0</v>
      </c>
      <c r="O79">
        <v>0</v>
      </c>
    </row>
    <row r="80" spans="1:15" ht="22" thickBot="1" x14ac:dyDescent="0.25">
      <c r="A80" s="18" t="s">
        <v>103</v>
      </c>
      <c r="B80" s="5" t="s">
        <v>106</v>
      </c>
      <c r="C80" s="6">
        <v>1.0508108139038086</v>
      </c>
      <c r="D80" s="7">
        <v>4.1532077789306641</v>
      </c>
      <c r="E80" s="7">
        <v>7.0545363426208496</v>
      </c>
      <c r="F80" s="7">
        <v>0.92821806669235229</v>
      </c>
      <c r="G80" s="7">
        <v>3.224989652633667</v>
      </c>
      <c r="H80" s="7">
        <v>2.9013285636901855</v>
      </c>
      <c r="I80" s="8">
        <v>1.6985753774642944</v>
      </c>
      <c r="J80" s="8">
        <v>0.77650570869445801</v>
      </c>
      <c r="K80" s="9"/>
      <c r="L80" t="s">
        <v>123</v>
      </c>
      <c r="M80">
        <v>0</v>
      </c>
      <c r="N80">
        <v>0</v>
      </c>
      <c r="O80">
        <v>0</v>
      </c>
    </row>
    <row r="81" spans="1:15" ht="22" thickBot="1" x14ac:dyDescent="0.25">
      <c r="A81" s="18" t="s">
        <v>103</v>
      </c>
      <c r="B81" s="11" t="s">
        <v>107</v>
      </c>
      <c r="C81" s="12">
        <v>0.99211370944976807</v>
      </c>
      <c r="D81" s="13">
        <v>3.7662253379821777</v>
      </c>
      <c r="E81" s="13">
        <v>6.2281231880187988</v>
      </c>
      <c r="F81" s="13">
        <v>0.88975346088409424</v>
      </c>
      <c r="G81" s="13">
        <v>2.876471996307373</v>
      </c>
      <c r="H81" s="13">
        <v>2.4618978500366211</v>
      </c>
      <c r="I81" s="14">
        <v>1.6536778211593628</v>
      </c>
      <c r="J81" s="14">
        <v>0.76375460624694824</v>
      </c>
      <c r="K81" s="15"/>
      <c r="L81" t="s">
        <v>123</v>
      </c>
      <c r="M81">
        <v>0</v>
      </c>
      <c r="N81">
        <v>0</v>
      </c>
      <c r="O81">
        <v>0</v>
      </c>
    </row>
    <row r="82" spans="1:15" ht="19" customHeight="1" thickBot="1" x14ac:dyDescent="0.3">
      <c r="A82" s="18" t="s">
        <v>108</v>
      </c>
      <c r="B82" s="5" t="s">
        <v>109</v>
      </c>
      <c r="C82" s="6">
        <v>0.97355175018310547</v>
      </c>
      <c r="D82" s="7">
        <v>3.4131145477294922</v>
      </c>
      <c r="E82" s="7">
        <v>6.4179778099060059</v>
      </c>
      <c r="F82" s="7">
        <v>0.72004646062850952</v>
      </c>
      <c r="G82" s="7">
        <v>2.6930680274963379</v>
      </c>
      <c r="H82" s="7">
        <v>3.0048632621765137</v>
      </c>
      <c r="I82" s="8">
        <v>1.8803874254226685</v>
      </c>
      <c r="J82" s="8">
        <v>0.78903532028198242</v>
      </c>
      <c r="K82" s="9"/>
      <c r="L82" t="s">
        <v>123</v>
      </c>
      <c r="M82" s="10">
        <v>1</v>
      </c>
      <c r="N82" s="19">
        <f>G82/AVERAGE(G$78:G$81)</f>
        <v>0.86513870922948477</v>
      </c>
      <c r="O82" s="19">
        <f>D82/AVERAGE(D$78:D$81)</f>
        <v>0.86346628335262721</v>
      </c>
    </row>
    <row r="83" spans="1:15" ht="22" thickBot="1" x14ac:dyDescent="0.25">
      <c r="A83" s="18" t="s">
        <v>108</v>
      </c>
      <c r="B83" s="5" t="s">
        <v>110</v>
      </c>
      <c r="C83" s="6">
        <v>0.93737047910690308</v>
      </c>
      <c r="D83" s="7">
        <v>3.4027702808380127</v>
      </c>
      <c r="E83" s="7">
        <v>6.1184778213500977</v>
      </c>
      <c r="F83" s="7">
        <v>0.50683361291885376</v>
      </c>
      <c r="G83" s="7">
        <v>2.8959367275238037</v>
      </c>
      <c r="H83" s="7">
        <v>2.715707540512085</v>
      </c>
      <c r="I83" s="8">
        <v>1.7980872392654419</v>
      </c>
      <c r="J83" s="8">
        <v>0.85105264186859131</v>
      </c>
      <c r="K83" s="9"/>
      <c r="L83" t="s">
        <v>123</v>
      </c>
      <c r="M83">
        <v>1</v>
      </c>
      <c r="N83" s="19">
        <f t="shared" ref="N83:N84" si="16">G83/AVERAGE(G$78:G$81)</f>
        <v>0.93030957141820969</v>
      </c>
      <c r="O83" s="19">
        <f t="shared" ref="O83:O84" si="17">D83/AVERAGE(D$78:D$81)</f>
        <v>0.86084934050998663</v>
      </c>
    </row>
    <row r="84" spans="1:15" ht="22" thickBot="1" x14ac:dyDescent="0.25">
      <c r="A84" s="18" t="s">
        <v>108</v>
      </c>
      <c r="B84" s="5" t="s">
        <v>111</v>
      </c>
      <c r="C84" s="6">
        <v>0.9206773042678833</v>
      </c>
      <c r="D84" s="7">
        <v>3.3651759624481201</v>
      </c>
      <c r="E84" s="7">
        <v>5.8715386390686035</v>
      </c>
      <c r="F84" s="7">
        <v>0.76483511924743652</v>
      </c>
      <c r="G84" s="7">
        <v>2.6003408432006836</v>
      </c>
      <c r="H84" s="7">
        <v>2.5063626766204834</v>
      </c>
      <c r="I84" s="8">
        <v>1.7447938919067383</v>
      </c>
      <c r="J84" s="8">
        <v>0.77272063493728638</v>
      </c>
      <c r="K84" s="9"/>
      <c r="L84" t="s">
        <v>123</v>
      </c>
      <c r="M84">
        <v>1</v>
      </c>
      <c r="N84" s="19">
        <f t="shared" si="16"/>
        <v>0.83535042474763799</v>
      </c>
      <c r="O84" s="19">
        <f t="shared" si="17"/>
        <v>0.85133854738501213</v>
      </c>
    </row>
    <row r="85" spans="1:15" ht="22" thickBot="1" x14ac:dyDescent="0.25">
      <c r="A85" s="18" t="s">
        <v>108</v>
      </c>
      <c r="B85" s="11" t="s">
        <v>112</v>
      </c>
      <c r="C85" s="12">
        <v>0.85569202899932861</v>
      </c>
      <c r="D85" s="13">
        <v>2.7611696720123291</v>
      </c>
      <c r="E85" s="13">
        <v>4.5178241729736328</v>
      </c>
      <c r="F85" s="13">
        <v>0.49957174062728882</v>
      </c>
      <c r="G85" s="13">
        <v>2.2615978717803955</v>
      </c>
      <c r="H85" s="13">
        <v>1.7566545009613037</v>
      </c>
      <c r="I85" s="14">
        <v>1.6361993551254272</v>
      </c>
      <c r="J85" s="14">
        <v>0.819072425365448</v>
      </c>
      <c r="K85" s="15"/>
      <c r="L85" t="s">
        <v>124</v>
      </c>
      <c r="M85">
        <v>1</v>
      </c>
      <c r="N85" s="19">
        <f>G85/AVERAGE(G$78:G$81)</f>
        <v>0.72653042686308511</v>
      </c>
      <c r="O85" s="19">
        <f>D85/AVERAGE(D$78:D$81)</f>
        <v>0.69853410457158716</v>
      </c>
    </row>
    <row r="86" spans="1:15" ht="19" customHeight="1" thickBot="1" x14ac:dyDescent="0.3">
      <c r="A86" s="18" t="s">
        <v>113</v>
      </c>
      <c r="B86" s="5" t="s">
        <v>114</v>
      </c>
      <c r="C86" s="6">
        <v>1.4376044273376465</v>
      </c>
      <c r="D86" s="7">
        <v>3.462895393371582</v>
      </c>
      <c r="E86" s="7">
        <v>7.5309605598449707</v>
      </c>
      <c r="F86" s="7">
        <v>0.3130851686000824</v>
      </c>
      <c r="G86" s="7">
        <v>3.1498103141784668</v>
      </c>
      <c r="H86" s="7">
        <v>4.0680651664733887</v>
      </c>
      <c r="I86" s="8">
        <v>2.1747584342956543</v>
      </c>
      <c r="J86" s="8">
        <v>0.90958863496780396</v>
      </c>
      <c r="K86" s="9"/>
      <c r="L86" t="s">
        <v>123</v>
      </c>
      <c r="M86" s="10">
        <v>0</v>
      </c>
      <c r="N86">
        <v>0</v>
      </c>
      <c r="O86">
        <v>0</v>
      </c>
    </row>
    <row r="87" spans="1:15" ht="22" thickBot="1" x14ac:dyDescent="0.25">
      <c r="A87" s="18" t="s">
        <v>113</v>
      </c>
      <c r="B87" s="5" t="s">
        <v>115</v>
      </c>
      <c r="C87" s="6">
        <v>1.4078966379165649</v>
      </c>
      <c r="D87" s="7">
        <v>4.1177282333374023</v>
      </c>
      <c r="E87" s="7">
        <v>8.6689205169677734</v>
      </c>
      <c r="F87" s="7">
        <v>0.7954069972038269</v>
      </c>
      <c r="G87" s="7">
        <v>3.3223211765289307</v>
      </c>
      <c r="H87" s="7">
        <v>4.5511922836303711</v>
      </c>
      <c r="I87" s="8">
        <v>2.1052677631378174</v>
      </c>
      <c r="J87" s="8">
        <v>0.80683350563049316</v>
      </c>
      <c r="K87" s="9"/>
      <c r="L87" t="s">
        <v>123</v>
      </c>
      <c r="M87">
        <v>0</v>
      </c>
      <c r="N87">
        <v>0</v>
      </c>
      <c r="O87">
        <v>0</v>
      </c>
    </row>
    <row r="88" spans="1:15" ht="22" thickBot="1" x14ac:dyDescent="0.25">
      <c r="A88" s="18" t="s">
        <v>113</v>
      </c>
      <c r="B88" s="5" t="s">
        <v>116</v>
      </c>
      <c r="C88" s="6">
        <v>1.224420428276062</v>
      </c>
      <c r="D88" s="7">
        <v>3.9425032138824463</v>
      </c>
      <c r="E88" s="7">
        <v>8.231989860534668</v>
      </c>
      <c r="F88" s="7">
        <v>0.73262465000152588</v>
      </c>
      <c r="G88" s="7">
        <v>3.2098784446716309</v>
      </c>
      <c r="H88" s="7">
        <v>4.2894868850708008</v>
      </c>
      <c r="I88" s="8">
        <v>2.0880110263824463</v>
      </c>
      <c r="J88" s="8">
        <v>0.81417268514633179</v>
      </c>
      <c r="K88" s="9"/>
      <c r="L88" t="s">
        <v>123</v>
      </c>
      <c r="M88">
        <v>0</v>
      </c>
      <c r="N88">
        <v>0</v>
      </c>
      <c r="O88">
        <v>0</v>
      </c>
    </row>
    <row r="89" spans="1:15" ht="22" thickBot="1" x14ac:dyDescent="0.25">
      <c r="A89" s="18" t="s">
        <v>113</v>
      </c>
      <c r="B89" s="11" t="s">
        <v>117</v>
      </c>
      <c r="C89" s="12">
        <v>1.2629121541976929</v>
      </c>
      <c r="D89" s="13">
        <v>3.4317076206207275</v>
      </c>
      <c r="E89" s="13">
        <v>7.2876653671264648</v>
      </c>
      <c r="F89" s="13">
        <v>0.68064665794372559</v>
      </c>
      <c r="G89" s="13">
        <v>2.751060962677002</v>
      </c>
      <c r="H89" s="13">
        <v>3.8559577465057373</v>
      </c>
      <c r="I89" s="14">
        <v>2.1236264705657959</v>
      </c>
      <c r="J89" s="14">
        <v>0.80165946483612061</v>
      </c>
      <c r="K89" s="15"/>
      <c r="L89" t="s">
        <v>123</v>
      </c>
      <c r="M89">
        <v>0</v>
      </c>
      <c r="N89">
        <v>0</v>
      </c>
      <c r="O89">
        <v>0</v>
      </c>
    </row>
    <row r="90" spans="1:15" ht="19" customHeight="1" thickBot="1" x14ac:dyDescent="0.3">
      <c r="A90" s="18" t="s">
        <v>118</v>
      </c>
      <c r="B90" s="5" t="s">
        <v>119</v>
      </c>
      <c r="C90" s="6">
        <v>1.1627719402313232</v>
      </c>
      <c r="D90" s="7">
        <v>3.1848125457763672</v>
      </c>
      <c r="E90" s="7">
        <v>7.4342656135559082</v>
      </c>
      <c r="F90" s="7">
        <v>0.59270870685577393</v>
      </c>
      <c r="G90" s="7">
        <v>2.5921039581298828</v>
      </c>
      <c r="H90" s="7">
        <v>4.249453067779541</v>
      </c>
      <c r="I90" s="8">
        <v>2.3342866897583008</v>
      </c>
      <c r="J90" s="8">
        <v>0.81389528512954712</v>
      </c>
      <c r="K90" s="9"/>
      <c r="L90" t="s">
        <v>123</v>
      </c>
      <c r="M90" s="10">
        <v>1</v>
      </c>
      <c r="N90" s="19">
        <f>G90/AVERAGE(G$86:G$89)</f>
        <v>0.83393844670673301</v>
      </c>
      <c r="O90" s="19">
        <f>D90/AVERAGE(D$86:D$89)</f>
        <v>0.85184829134329942</v>
      </c>
    </row>
    <row r="91" spans="1:15" ht="22" thickBot="1" x14ac:dyDescent="0.25">
      <c r="A91" s="18" t="s">
        <v>118</v>
      </c>
      <c r="B91" s="5" t="s">
        <v>120</v>
      </c>
      <c r="C91" s="6">
        <v>1.4371402263641357</v>
      </c>
      <c r="D91" s="7">
        <v>3.3016371726989746</v>
      </c>
      <c r="E91" s="7">
        <v>7.5174283981323242</v>
      </c>
      <c r="F91" s="7">
        <v>0.67787325382232666</v>
      </c>
      <c r="G91" s="7">
        <v>2.6237640380859375</v>
      </c>
      <c r="H91" s="7">
        <v>4.2157912254333496</v>
      </c>
      <c r="I91" s="8">
        <v>2.2768790721893311</v>
      </c>
      <c r="J91" s="8">
        <v>0.79468578100204468</v>
      </c>
      <c r="K91" s="9"/>
      <c r="L91" t="s">
        <v>123</v>
      </c>
      <c r="M91">
        <v>1</v>
      </c>
      <c r="N91" s="19">
        <f t="shared" ref="N91:N93" si="18">G91/AVERAGE(G$86:G$89)</f>
        <v>0.84412421021299744</v>
      </c>
      <c r="O91" s="19">
        <f t="shared" ref="O91:O92" si="19">D91/AVERAGE(D$86:D$89)</f>
        <v>0.88309561199418629</v>
      </c>
    </row>
    <row r="92" spans="1:15" ht="22" thickBot="1" x14ac:dyDescent="0.25">
      <c r="A92" s="18" t="s">
        <v>118</v>
      </c>
      <c r="B92" s="5" t="s">
        <v>121</v>
      </c>
      <c r="C92" s="6">
        <v>1.2528445720672607</v>
      </c>
      <c r="D92" s="7">
        <v>3.5393872261047363</v>
      </c>
      <c r="E92" s="7">
        <v>8.1312637329101562</v>
      </c>
      <c r="F92" s="7">
        <v>0.69551491737365723</v>
      </c>
      <c r="G92" s="7">
        <v>2.8438723087310791</v>
      </c>
      <c r="H92" s="7">
        <v>4.5918765068054199</v>
      </c>
      <c r="I92" s="8">
        <v>2.2973647117614746</v>
      </c>
      <c r="J92" s="8">
        <v>0.80349284410476685</v>
      </c>
      <c r="K92" s="9"/>
      <c r="L92" t="s">
        <v>123</v>
      </c>
      <c r="M92">
        <v>1</v>
      </c>
      <c r="N92" s="19">
        <f t="shared" si="18"/>
        <v>0.91493801717988499</v>
      </c>
      <c r="O92" s="19">
        <f t="shared" si="19"/>
        <v>0.94668710249778387</v>
      </c>
    </row>
    <row r="93" spans="1:15" ht="22" thickBot="1" x14ac:dyDescent="0.25">
      <c r="A93" s="18" t="s">
        <v>118</v>
      </c>
      <c r="B93" s="11" t="s">
        <v>122</v>
      </c>
      <c r="C93" s="12">
        <v>0.99390131235122681</v>
      </c>
      <c r="D93" s="13">
        <v>2.9530014991760254</v>
      </c>
      <c r="E93" s="13">
        <v>6.1714973449707031</v>
      </c>
      <c r="F93" s="13">
        <v>0.56435781717300415</v>
      </c>
      <c r="G93" s="13">
        <v>2.388643741607666</v>
      </c>
      <c r="H93" s="13">
        <v>3.2184958457946777</v>
      </c>
      <c r="I93" s="14">
        <v>2.0899066925048828</v>
      </c>
      <c r="J93" s="14">
        <v>0.80888670682907104</v>
      </c>
      <c r="K93" s="15"/>
      <c r="L93" t="s">
        <v>124</v>
      </c>
      <c r="M93">
        <v>1</v>
      </c>
      <c r="N93" s="19">
        <f t="shared" si="18"/>
        <v>0.76848069513739903</v>
      </c>
      <c r="O93" s="19">
        <f>D93/AVERAGE(D$86:D$89)</f>
        <v>0.78984531907327338</v>
      </c>
    </row>
    <row r="94" spans="1:15" x14ac:dyDescent="0.2">
      <c r="N94" s="19"/>
      <c r="O9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2026-08-31T14:02:49Z</dcterms:created>
  <dcterms:modified xsi:type="dcterms:W3CDTF">2026-09-09T18:46:22Z</dcterms:modified>
</cp:coreProperties>
</file>