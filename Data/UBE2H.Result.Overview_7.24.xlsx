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escaduto/Documents/Klaske/Klaske/Digital lab notebook/Hit Gene follow up/UBE2H/Seahorse/HCT116 2026.07.24/"/>
    </mc:Choice>
  </mc:AlternateContent>
  <xr:revisionPtr revIDLastSave="0" documentId="13_ncr:1_{BC4EC242-A328-1F44-910D-FB413684611F}" xr6:coauthVersionLast="47" xr6:coauthVersionMax="47" xr10:uidLastSave="{00000000-0000-0000-0000-000000000000}"/>
  <bookViews>
    <workbookView xWindow="6480" yWindow="1680" windowWidth="27640" windowHeight="16940" xr2:uid="{71009F17-A55D-1740-84AC-5AA6CACBE9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1" l="1"/>
  <c r="O13" i="1"/>
  <c r="N8" i="1"/>
  <c r="N93" i="1"/>
  <c r="O93" i="1"/>
  <c r="N90" i="1"/>
  <c r="O90" i="1"/>
  <c r="N91" i="1"/>
  <c r="O91" i="1"/>
  <c r="N92" i="1"/>
  <c r="O92" i="1"/>
  <c r="O89" i="1"/>
  <c r="N89" i="1"/>
  <c r="N79" i="1"/>
  <c r="O79" i="1"/>
  <c r="N80" i="1"/>
  <c r="O80" i="1"/>
  <c r="N81" i="1"/>
  <c r="O81" i="1"/>
  <c r="N82" i="1"/>
  <c r="O82" i="1"/>
  <c r="N83" i="1"/>
  <c r="O83" i="1"/>
  <c r="O78" i="1"/>
  <c r="N78" i="1"/>
  <c r="N67" i="1"/>
  <c r="O67" i="1"/>
  <c r="N68" i="1"/>
  <c r="O68" i="1"/>
  <c r="N69" i="1"/>
  <c r="O69" i="1"/>
  <c r="N70" i="1"/>
  <c r="O70" i="1"/>
  <c r="N71" i="1"/>
  <c r="O71" i="1"/>
  <c r="O66" i="1"/>
  <c r="N66" i="1"/>
  <c r="N55" i="1"/>
  <c r="O55" i="1"/>
  <c r="N56" i="1"/>
  <c r="O56" i="1"/>
  <c r="N57" i="1"/>
  <c r="O57" i="1"/>
  <c r="N58" i="1"/>
  <c r="O58" i="1"/>
  <c r="N59" i="1"/>
  <c r="O59" i="1"/>
  <c r="O54" i="1"/>
  <c r="N54" i="1"/>
  <c r="N43" i="1"/>
  <c r="O43" i="1"/>
  <c r="N44" i="1"/>
  <c r="O44" i="1"/>
  <c r="N45" i="1"/>
  <c r="O45" i="1"/>
  <c r="N46" i="1"/>
  <c r="O46" i="1"/>
  <c r="N47" i="1"/>
  <c r="O47" i="1"/>
  <c r="O42" i="1"/>
  <c r="N42" i="1"/>
  <c r="O30" i="1"/>
  <c r="O35" i="1"/>
  <c r="N35" i="1"/>
  <c r="N30" i="1"/>
  <c r="O19" i="1"/>
  <c r="N23" i="1"/>
  <c r="N19" i="1"/>
  <c r="O9" i="1"/>
  <c r="O10" i="1"/>
  <c r="O11" i="1"/>
  <c r="O12" i="1"/>
  <c r="O8" i="1"/>
  <c r="N9" i="1"/>
  <c r="N10" i="1"/>
  <c r="N11" i="1"/>
  <c r="N12" i="1"/>
  <c r="N13" i="1"/>
  <c r="N34" i="1"/>
  <c r="O34" i="1"/>
  <c r="N31" i="1"/>
  <c r="O31" i="1"/>
  <c r="N32" i="1"/>
  <c r="O32" i="1"/>
  <c r="N33" i="1"/>
  <c r="O33" i="1"/>
  <c r="N20" i="1"/>
  <c r="O20" i="1"/>
  <c r="N21" i="1"/>
  <c r="O21" i="1"/>
  <c r="N22" i="1"/>
  <c r="O22" i="1"/>
</calcChain>
</file>

<file path=xl/sharedStrings.xml><?xml version="1.0" encoding="utf-8"?>
<sst xmlns="http://schemas.openxmlformats.org/spreadsheetml/2006/main" count="292" uniqueCount="128">
  <si>
    <t>Group Name</t>
  </si>
  <si>
    <t>Assay Wells</t>
  </si>
  <si>
    <t>Non-Mitochondrial Oxygen Consumption</t>
  </si>
  <si>
    <t>Basal Respiration</t>
  </si>
  <si>
    <t>Maximal Respiration</t>
  </si>
  <si>
    <t>Proton Leak</t>
  </si>
  <si>
    <t>ATP Production</t>
  </si>
  <si>
    <t>Spare Respiratory Capacity</t>
  </si>
  <si>
    <t>Spare Respiratory Capacity as a %</t>
  </si>
  <si>
    <t>Coupling Efficiency</t>
  </si>
  <si>
    <t>Acute Response</t>
  </si>
  <si>
    <t>H.WT</t>
  </si>
  <si>
    <t>B01</t>
  </si>
  <si>
    <t>B02</t>
  </si>
  <si>
    <t>B03</t>
  </si>
  <si>
    <t>B04</t>
  </si>
  <si>
    <t>B05</t>
  </si>
  <si>
    <t>B06</t>
  </si>
  <si>
    <t>H.WT.AZ</t>
  </si>
  <si>
    <t>B07</t>
  </si>
  <si>
    <t>B08</t>
  </si>
  <si>
    <t>B09</t>
  </si>
  <si>
    <t>B10</t>
  </si>
  <si>
    <t>B11</t>
  </si>
  <si>
    <t>B12</t>
  </si>
  <si>
    <t>H.OE</t>
  </si>
  <si>
    <t>A02</t>
  </si>
  <si>
    <t>A03</t>
  </si>
  <si>
    <t>A04</t>
  </si>
  <si>
    <t>A05</t>
  </si>
  <si>
    <t>A06</t>
  </si>
  <si>
    <t>H.OE.AZ</t>
  </si>
  <si>
    <t>A07</t>
  </si>
  <si>
    <t>A08</t>
  </si>
  <si>
    <t>A09</t>
  </si>
  <si>
    <t>A10</t>
  </si>
  <si>
    <t>A11</t>
  </si>
  <si>
    <t>H.KO1</t>
  </si>
  <si>
    <t>C01</t>
  </si>
  <si>
    <t>C02</t>
  </si>
  <si>
    <t>C03</t>
  </si>
  <si>
    <t>C04</t>
  </si>
  <si>
    <t>C05</t>
  </si>
  <si>
    <t>C06</t>
  </si>
  <si>
    <t>H.KO1.AZ</t>
  </si>
  <si>
    <t>C07</t>
  </si>
  <si>
    <t>C08</t>
  </si>
  <si>
    <t>C09</t>
  </si>
  <si>
    <t>C10</t>
  </si>
  <si>
    <t>C11</t>
  </si>
  <si>
    <t>C12</t>
  </si>
  <si>
    <t>H.KO1.OE</t>
  </si>
  <si>
    <t>F01</t>
  </si>
  <si>
    <t>F02</t>
  </si>
  <si>
    <t>F03</t>
  </si>
  <si>
    <t>F04</t>
  </si>
  <si>
    <t>F05</t>
  </si>
  <si>
    <t>F06</t>
  </si>
  <si>
    <t>H.KO1.OE.AZ</t>
  </si>
  <si>
    <t>G07</t>
  </si>
  <si>
    <t>G08</t>
  </si>
  <si>
    <t>G09</t>
  </si>
  <si>
    <t>G10</t>
  </si>
  <si>
    <t>G11</t>
  </si>
  <si>
    <t>G12</t>
  </si>
  <si>
    <t>H.KO2</t>
  </si>
  <si>
    <t>D01</t>
  </si>
  <si>
    <t>D02</t>
  </si>
  <si>
    <t>D03</t>
  </si>
  <si>
    <t>D04</t>
  </si>
  <si>
    <t>D05</t>
  </si>
  <si>
    <t>D06</t>
  </si>
  <si>
    <t>H.KO2.AZ</t>
  </si>
  <si>
    <t>D07</t>
  </si>
  <si>
    <t>D08</t>
  </si>
  <si>
    <t>D09</t>
  </si>
  <si>
    <t>D10</t>
  </si>
  <si>
    <t>D11</t>
  </si>
  <si>
    <t>D12</t>
  </si>
  <si>
    <t>H.KO2.OE</t>
  </si>
  <si>
    <t>G01</t>
  </si>
  <si>
    <t>G02</t>
  </si>
  <si>
    <t>G03</t>
  </si>
  <si>
    <t>G04</t>
  </si>
  <si>
    <t>G05</t>
  </si>
  <si>
    <t>G06</t>
  </si>
  <si>
    <t>H.KO2.OE.AZ</t>
  </si>
  <si>
    <t>E07</t>
  </si>
  <si>
    <t>E08</t>
  </si>
  <si>
    <t>E09</t>
  </si>
  <si>
    <t>E10</t>
  </si>
  <si>
    <t>E11</t>
  </si>
  <si>
    <t>E12</t>
  </si>
  <si>
    <t>H.KO3</t>
  </si>
  <si>
    <t>E01</t>
  </si>
  <si>
    <t>E02</t>
  </si>
  <si>
    <t>E03</t>
  </si>
  <si>
    <t>E04</t>
  </si>
  <si>
    <t>E05</t>
  </si>
  <si>
    <t>E06</t>
  </si>
  <si>
    <t>H.KO3.AZ</t>
  </si>
  <si>
    <t>F07</t>
  </si>
  <si>
    <t>F08</t>
  </si>
  <si>
    <t>F09</t>
  </si>
  <si>
    <t>F10</t>
  </si>
  <si>
    <t>F11</t>
  </si>
  <si>
    <t>F12</t>
  </si>
  <si>
    <t>H.KO3.OE</t>
  </si>
  <si>
    <t>H02</t>
  </si>
  <si>
    <t>H03</t>
  </si>
  <si>
    <t>H04</t>
  </si>
  <si>
    <t>H05</t>
  </si>
  <si>
    <t>H06</t>
  </si>
  <si>
    <t>H.KO3.OE.AZ</t>
  </si>
  <si>
    <t>H07</t>
  </si>
  <si>
    <t>H08</t>
  </si>
  <si>
    <t>H09</t>
  </si>
  <si>
    <t>H10</t>
  </si>
  <si>
    <t>H11</t>
  </si>
  <si>
    <t>AZ3146</t>
  </si>
  <si>
    <t>UBE2H</t>
  </si>
  <si>
    <t>WT</t>
  </si>
  <si>
    <t>OE</t>
  </si>
  <si>
    <t>KO</t>
  </si>
  <si>
    <t>KO.OE</t>
  </si>
  <si>
    <t>AZ.ATP.Diff</t>
  </si>
  <si>
    <t>AZ.Basal.Diff</t>
  </si>
  <si>
    <t>CellCoverage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</si>
</sst>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#0.00%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/>
    <xf numFmtId="0" fontId="3" fillId="0" borderId="10" xfId="0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13B5-DCA5-644E-8F90-810A89B43969}">
  <dimension ref="A1:P95"/>
  <sheetViews>
    <sheetView tabSelected="1" topLeftCell="C1" workbookViewId="0">
      <selection activeCell="G8" sqref="G8"/>
    </sheetView>
  </sheetViews>
  <sheetFormatPr baseColWidth="10" defaultColWidth="8.83203125" defaultRowHeight="16" x14ac:dyDescent="0.2"/>
  <cols>
    <col min="1" max="1" width="16.6640625" customWidth="1"/>
    <col min="2" max="2" width="12" customWidth="1"/>
    <col min="3" max="3" width="23" customWidth="1"/>
    <col min="4" max="5" width="16.5" customWidth="1"/>
    <col min="6" max="6" width="14.33203125" customWidth="1"/>
    <col min="7" max="7" width="17.1640625" customWidth="1"/>
    <col min="8" max="8" width="19" customWidth="1"/>
    <col min="9" max="9" width="21.83203125" customWidth="1"/>
    <col min="10" max="10" width="16.1640625" customWidth="1"/>
    <col min="11" max="11" width="14.33203125" customWidth="1"/>
  </cols>
  <sheetData>
    <row r="1" spans="1:16" ht="35" thickBot="1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6" t="s">
        <v>10</v>
      </c>
      <c r="L1" s="17" t="s">
        <v>127</v>
      </c>
      <c r="M1" s="17" t="s">
        <v>119</v>
      </c>
      <c r="N1" s="17" t="s">
        <v>125</v>
      </c>
      <c r="O1" s="17" t="s">
        <v>126</v>
      </c>
      <c r="P1" s="17" t="s">
        <v>120</v>
      </c>
    </row>
    <row r="2" spans="1:16" ht="19" customHeight="1" thickBot="1" x14ac:dyDescent="0.3">
      <c r="A2" s="15" t="s">
        <v>11</v>
      </c>
      <c r="B2" s="4" t="s">
        <v>12</v>
      </c>
      <c r="C2" s="5">
        <v>1.2194364070892334</v>
      </c>
      <c r="D2" s="6">
        <v>4.3916621208190918</v>
      </c>
      <c r="E2" s="6">
        <v>7.4841337203979492</v>
      </c>
      <c r="F2" s="6">
        <v>0.96578449010848999</v>
      </c>
      <c r="G2" s="6">
        <v>3.425877571105957</v>
      </c>
      <c r="H2" s="6">
        <v>3.0924715995788574</v>
      </c>
      <c r="I2" s="7">
        <v>1.7041687965393066</v>
      </c>
      <c r="J2" s="7">
        <v>0.78008675575256348</v>
      </c>
      <c r="K2" s="8"/>
      <c r="L2" s="9"/>
      <c r="M2">
        <v>0</v>
      </c>
      <c r="N2">
        <v>0</v>
      </c>
      <c r="O2">
        <v>0</v>
      </c>
      <c r="P2" s="9" t="s">
        <v>121</v>
      </c>
    </row>
    <row r="3" spans="1:16" ht="22" thickBot="1" x14ac:dyDescent="0.3">
      <c r="A3" s="15" t="s">
        <v>11</v>
      </c>
      <c r="B3" s="4" t="s">
        <v>13</v>
      </c>
      <c r="C3" s="5">
        <v>1.1632918119430542</v>
      </c>
      <c r="D3" s="6">
        <v>5.0242948532104492</v>
      </c>
      <c r="E3" s="6">
        <v>9.1702556610107422</v>
      </c>
      <c r="F3" s="6">
        <v>0.95371550321578979</v>
      </c>
      <c r="G3" s="6">
        <v>4.0705795288085938</v>
      </c>
      <c r="H3" s="6">
        <v>4.145960807800293</v>
      </c>
      <c r="I3" s="7">
        <v>1.8251826763153076</v>
      </c>
      <c r="J3" s="7">
        <v>0.81017929315567017</v>
      </c>
      <c r="K3" s="8"/>
      <c r="L3" s="9"/>
      <c r="M3">
        <v>0</v>
      </c>
      <c r="N3">
        <v>0</v>
      </c>
      <c r="O3">
        <v>0</v>
      </c>
      <c r="P3" s="9" t="s">
        <v>121</v>
      </c>
    </row>
    <row r="4" spans="1:16" ht="22" thickBot="1" x14ac:dyDescent="0.3">
      <c r="A4" s="15" t="s">
        <v>11</v>
      </c>
      <c r="B4" s="4" t="s">
        <v>14</v>
      </c>
      <c r="C4" s="5">
        <v>1.2073143720626831</v>
      </c>
      <c r="D4" s="6">
        <v>4.8091468811035156</v>
      </c>
      <c r="E4" s="6">
        <v>8.5929164886474609</v>
      </c>
      <c r="F4" s="6">
        <v>0.98713427782058716</v>
      </c>
      <c r="G4" s="6">
        <v>3.8220126628875732</v>
      </c>
      <c r="H4" s="6">
        <v>3.7837696075439453</v>
      </c>
      <c r="I4" s="7">
        <v>1.7867860794067383</v>
      </c>
      <c r="J4" s="7">
        <v>0.79473817348480225</v>
      </c>
      <c r="K4" s="8"/>
      <c r="L4" s="9"/>
      <c r="M4">
        <v>0</v>
      </c>
      <c r="N4">
        <v>0</v>
      </c>
      <c r="O4">
        <v>0</v>
      </c>
      <c r="P4" s="9" t="s">
        <v>121</v>
      </c>
    </row>
    <row r="5" spans="1:16" ht="22" thickBot="1" x14ac:dyDescent="0.3">
      <c r="A5" s="15" t="s">
        <v>11</v>
      </c>
      <c r="B5" s="4" t="s">
        <v>15</v>
      </c>
      <c r="C5" s="5">
        <v>1.1739693880081177</v>
      </c>
      <c r="D5" s="6">
        <v>4.9062056541442871</v>
      </c>
      <c r="E5" s="6">
        <v>8.6126394271850586</v>
      </c>
      <c r="F5" s="6">
        <v>0.95210140943527222</v>
      </c>
      <c r="G5" s="6">
        <v>3.9541041851043701</v>
      </c>
      <c r="H5" s="6">
        <v>3.7064337730407715</v>
      </c>
      <c r="I5" s="7">
        <v>1.7554583549499512</v>
      </c>
      <c r="J5" s="7">
        <v>0.80593937635421753</v>
      </c>
      <c r="K5" s="8"/>
      <c r="L5" s="9"/>
      <c r="M5">
        <v>0</v>
      </c>
      <c r="N5">
        <v>0</v>
      </c>
      <c r="O5">
        <v>0</v>
      </c>
      <c r="P5" s="9" t="s">
        <v>121</v>
      </c>
    </row>
    <row r="6" spans="1:16" ht="22" thickBot="1" x14ac:dyDescent="0.3">
      <c r="A6" s="15" t="s">
        <v>11</v>
      </c>
      <c r="B6" s="4" t="s">
        <v>16</v>
      </c>
      <c r="C6" s="5">
        <v>1.1819545030593872</v>
      </c>
      <c r="D6" s="6">
        <v>5.1162252426147461</v>
      </c>
      <c r="E6" s="6">
        <v>8.7569208145141602</v>
      </c>
      <c r="F6" s="6">
        <v>0.98224467039108276</v>
      </c>
      <c r="G6" s="6">
        <v>4.1339807510375977</v>
      </c>
      <c r="H6" s="6">
        <v>3.6406955718994141</v>
      </c>
      <c r="I6" s="7">
        <v>1.7115980386734009</v>
      </c>
      <c r="J6" s="7">
        <v>0.80801385641098022</v>
      </c>
      <c r="K6" s="8"/>
      <c r="L6" s="9"/>
      <c r="M6">
        <v>0</v>
      </c>
      <c r="N6">
        <v>0</v>
      </c>
      <c r="O6">
        <v>0</v>
      </c>
      <c r="P6" s="9" t="s">
        <v>121</v>
      </c>
    </row>
    <row r="7" spans="1:16" ht="22" thickBot="1" x14ac:dyDescent="0.3">
      <c r="A7" s="15" t="s">
        <v>11</v>
      </c>
      <c r="B7" s="10" t="s">
        <v>17</v>
      </c>
      <c r="C7" s="11">
        <v>0.90805834531784058</v>
      </c>
      <c r="D7" s="12">
        <v>4.5678529739379883</v>
      </c>
      <c r="E7" s="12">
        <v>7.1180315017700195</v>
      </c>
      <c r="F7" s="12">
        <v>0.98508244752883911</v>
      </c>
      <c r="G7" s="12">
        <v>3.5827705860137939</v>
      </c>
      <c r="H7" s="12">
        <v>2.5501785278320312</v>
      </c>
      <c r="I7" s="13">
        <v>1.5582882165908813</v>
      </c>
      <c r="J7" s="13">
        <v>0.78434455394744873</v>
      </c>
      <c r="K7" s="14"/>
      <c r="L7" s="9"/>
      <c r="M7">
        <v>0</v>
      </c>
      <c r="N7">
        <v>0</v>
      </c>
      <c r="O7">
        <v>0</v>
      </c>
      <c r="P7" s="9" t="s">
        <v>121</v>
      </c>
    </row>
    <row r="8" spans="1:16" ht="19" customHeight="1" thickBot="1" x14ac:dyDescent="0.3">
      <c r="A8" s="15" t="s">
        <v>18</v>
      </c>
      <c r="B8" s="4" t="s">
        <v>19</v>
      </c>
      <c r="C8" s="5">
        <v>1.0702611207962036</v>
      </c>
      <c r="D8" s="6">
        <v>4.301206111907959</v>
      </c>
      <c r="E8" s="6">
        <v>7.7210569381713867</v>
      </c>
      <c r="F8" s="6">
        <v>0.74530106782913208</v>
      </c>
      <c r="G8" s="6">
        <v>3.5559051036834717</v>
      </c>
      <c r="H8" s="6">
        <v>3.4198508262634277</v>
      </c>
      <c r="I8" s="7">
        <v>1.7950911521911621</v>
      </c>
      <c r="J8" s="7">
        <v>0.82672280073165894</v>
      </c>
      <c r="K8" s="8"/>
      <c r="L8" s="9"/>
      <c r="M8">
        <v>1</v>
      </c>
      <c r="N8" s="18">
        <f>G8/AVERAGE(G$2:G$7)</f>
        <v>0.92805814688527577</v>
      </c>
      <c r="O8" s="18">
        <f>D8/AVERAGE(D$2:D$7)</f>
        <v>0.89560608786513662</v>
      </c>
      <c r="P8" s="9" t="s">
        <v>121</v>
      </c>
    </row>
    <row r="9" spans="1:16" ht="22" thickBot="1" x14ac:dyDescent="0.3">
      <c r="A9" s="15" t="s">
        <v>18</v>
      </c>
      <c r="B9" s="4" t="s">
        <v>20</v>
      </c>
      <c r="C9" s="5">
        <v>1.0085396766662598</v>
      </c>
      <c r="D9" s="6">
        <v>4.9287328720092773</v>
      </c>
      <c r="E9" s="6">
        <v>8.551732063293457</v>
      </c>
      <c r="F9" s="6">
        <v>0.80914187431335449</v>
      </c>
      <c r="G9" s="6">
        <v>4.1195907592773438</v>
      </c>
      <c r="H9" s="6">
        <v>3.6229991912841797</v>
      </c>
      <c r="I9" s="7">
        <v>1.7350772619247437</v>
      </c>
      <c r="J9" s="7">
        <v>0.83583164215087891</v>
      </c>
      <c r="K9" s="8"/>
      <c r="L9" s="9"/>
      <c r="M9">
        <v>1</v>
      </c>
      <c r="N9" s="18">
        <f t="shared" ref="N9:N13" si="0">G9/AVERAGE(G$2:G$7)</f>
        <v>1.0751748582998635</v>
      </c>
      <c r="O9" s="18">
        <f t="shared" ref="O9:O13" si="1">D9/AVERAGE(D$2:D$7)</f>
        <v>1.026271015799902</v>
      </c>
      <c r="P9" s="9" t="s">
        <v>121</v>
      </c>
    </row>
    <row r="10" spans="1:16" ht="22" thickBot="1" x14ac:dyDescent="0.3">
      <c r="A10" s="15" t="s">
        <v>18</v>
      </c>
      <c r="B10" s="4" t="s">
        <v>21</v>
      </c>
      <c r="C10" s="5">
        <v>1.143512487411499</v>
      </c>
      <c r="D10" s="6">
        <v>4.8243536949157715</v>
      </c>
      <c r="E10" s="6">
        <v>8.4870529174804688</v>
      </c>
      <c r="F10" s="6">
        <v>0.85348296165466309</v>
      </c>
      <c r="G10" s="6">
        <v>3.9708707332611084</v>
      </c>
      <c r="H10" s="6">
        <v>3.6626992225646973</v>
      </c>
      <c r="I10" s="7">
        <v>1.7592103481292725</v>
      </c>
      <c r="J10" s="7">
        <v>0.82308864593505859</v>
      </c>
      <c r="K10" s="8"/>
      <c r="L10" s="9"/>
      <c r="M10">
        <v>1</v>
      </c>
      <c r="N10" s="18">
        <f t="shared" si="0"/>
        <v>1.0363603152440364</v>
      </c>
      <c r="O10" s="18">
        <f t="shared" si="1"/>
        <v>1.0045369663218988</v>
      </c>
      <c r="P10" s="9" t="s">
        <v>121</v>
      </c>
    </row>
    <row r="11" spans="1:16" ht="22" thickBot="1" x14ac:dyDescent="0.3">
      <c r="A11" s="15" t="s">
        <v>18</v>
      </c>
      <c r="B11" s="4" t="s">
        <v>22</v>
      </c>
      <c r="C11" s="5">
        <v>1.1257138252258301</v>
      </c>
      <c r="D11" s="6">
        <v>4.5274653434753418</v>
      </c>
      <c r="E11" s="6">
        <v>7.9999995231628418</v>
      </c>
      <c r="F11" s="6">
        <v>0.78054749965667725</v>
      </c>
      <c r="G11" s="6">
        <v>3.746917724609375</v>
      </c>
      <c r="H11" s="6">
        <v>3.4725341796875</v>
      </c>
      <c r="I11" s="7">
        <v>1.7669930458068848</v>
      </c>
      <c r="J11" s="7">
        <v>0.82759720087051392</v>
      </c>
      <c r="K11" s="8"/>
      <c r="L11" s="9"/>
      <c r="M11">
        <v>1</v>
      </c>
      <c r="N11" s="18">
        <f t="shared" si="0"/>
        <v>0.97791066370991298</v>
      </c>
      <c r="O11" s="18">
        <f t="shared" si="1"/>
        <v>0.9427182559303745</v>
      </c>
      <c r="P11" s="9" t="s">
        <v>121</v>
      </c>
    </row>
    <row r="12" spans="1:16" ht="22" thickBot="1" x14ac:dyDescent="0.3">
      <c r="A12" s="15" t="s">
        <v>18</v>
      </c>
      <c r="B12" s="4" t="s">
        <v>23</v>
      </c>
      <c r="C12" s="5">
        <v>1.167138934135437</v>
      </c>
      <c r="D12" s="6">
        <v>4.8194847106933594</v>
      </c>
      <c r="E12" s="6">
        <v>8.4700908660888672</v>
      </c>
      <c r="F12" s="6">
        <v>0.82008510828018188</v>
      </c>
      <c r="G12" s="6">
        <v>3.9993996620178223</v>
      </c>
      <c r="H12" s="6">
        <v>3.6506061553955078</v>
      </c>
      <c r="I12" s="7">
        <v>1.7574681043624878</v>
      </c>
      <c r="J12" s="7">
        <v>0.82983970642089844</v>
      </c>
      <c r="K12" s="8"/>
      <c r="L12" s="9"/>
      <c r="M12">
        <v>1</v>
      </c>
      <c r="N12" s="18">
        <f t="shared" si="0"/>
        <v>1.0438061002080816</v>
      </c>
      <c r="O12" s="18">
        <f t="shared" si="1"/>
        <v>1.0035231362942612</v>
      </c>
      <c r="P12" s="9" t="s">
        <v>121</v>
      </c>
    </row>
    <row r="13" spans="1:16" ht="22" thickBot="1" x14ac:dyDescent="0.3">
      <c r="A13" s="15" t="s">
        <v>18</v>
      </c>
      <c r="B13" s="10" t="s">
        <v>24</v>
      </c>
      <c r="C13" s="11">
        <v>1.4125425815582275</v>
      </c>
      <c r="D13" s="12">
        <v>4.4616479873657227</v>
      </c>
      <c r="E13" s="12">
        <v>7.0519599914550781</v>
      </c>
      <c r="F13" s="12">
        <v>0.91789805889129639</v>
      </c>
      <c r="G13" s="12">
        <v>3.5437498092651367</v>
      </c>
      <c r="H13" s="12">
        <v>2.5903120040893555</v>
      </c>
      <c r="I13" s="13">
        <v>1.5805729627609253</v>
      </c>
      <c r="J13" s="13">
        <v>0.79426926374435425</v>
      </c>
      <c r="K13" s="14"/>
      <c r="L13" s="9"/>
      <c r="M13">
        <v>1</v>
      </c>
      <c r="N13" s="18">
        <f t="shared" si="0"/>
        <v>0.92488572813848768</v>
      </c>
      <c r="O13" s="18">
        <f>D13/AVERAGE(D$2:D$7)</f>
        <v>0.92901362906867435</v>
      </c>
      <c r="P13" s="9" t="s">
        <v>121</v>
      </c>
    </row>
    <row r="14" spans="1:16" ht="19" customHeight="1" thickBot="1" x14ac:dyDescent="0.3">
      <c r="A14" s="15" t="s">
        <v>25</v>
      </c>
      <c r="B14" s="4" t="s">
        <v>26</v>
      </c>
      <c r="C14" s="5">
        <v>1.3947972059249878</v>
      </c>
      <c r="D14" s="6">
        <v>4.658055305480957</v>
      </c>
      <c r="E14" s="6">
        <v>7.793607234954834</v>
      </c>
      <c r="F14" s="6">
        <v>0.45845174789428711</v>
      </c>
      <c r="G14" s="6">
        <v>4.1996035575866699</v>
      </c>
      <c r="H14" s="6">
        <v>3.135551929473877</v>
      </c>
      <c r="I14" s="7">
        <v>1.67314612865448</v>
      </c>
      <c r="J14" s="7">
        <v>0.90157872438430786</v>
      </c>
      <c r="K14" s="8"/>
      <c r="L14" s="9"/>
      <c r="M14">
        <v>0</v>
      </c>
      <c r="N14">
        <v>0</v>
      </c>
      <c r="O14">
        <v>0</v>
      </c>
      <c r="P14" s="9" t="s">
        <v>122</v>
      </c>
    </row>
    <row r="15" spans="1:16" ht="22" thickBot="1" x14ac:dyDescent="0.3">
      <c r="A15" s="15" t="s">
        <v>25</v>
      </c>
      <c r="B15" s="4" t="s">
        <v>27</v>
      </c>
      <c r="C15" s="5">
        <v>1.4716997146606445</v>
      </c>
      <c r="D15" s="6">
        <v>4.4967031478881836</v>
      </c>
      <c r="E15" s="6">
        <v>7.7028617858886719</v>
      </c>
      <c r="F15" s="6">
        <v>0.42722952365875244</v>
      </c>
      <c r="G15" s="6">
        <v>4.0694737434387207</v>
      </c>
      <c r="H15" s="6">
        <v>3.2061586380004883</v>
      </c>
      <c r="I15" s="7">
        <v>1.71300208568573</v>
      </c>
      <c r="J15" s="7">
        <v>0.904990553855896</v>
      </c>
      <c r="K15" s="8"/>
      <c r="L15" s="9"/>
      <c r="M15">
        <v>0</v>
      </c>
      <c r="N15">
        <v>0</v>
      </c>
      <c r="O15">
        <v>0</v>
      </c>
      <c r="P15" s="9" t="s">
        <v>122</v>
      </c>
    </row>
    <row r="16" spans="1:16" ht="22" thickBot="1" x14ac:dyDescent="0.3">
      <c r="A16" s="15" t="s">
        <v>25</v>
      </c>
      <c r="B16" s="4" t="s">
        <v>28</v>
      </c>
      <c r="C16" s="5">
        <v>1.7312664985656738</v>
      </c>
      <c r="D16" s="6">
        <v>4.987523078918457</v>
      </c>
      <c r="E16" s="6">
        <v>8.195159912109375</v>
      </c>
      <c r="F16" s="6">
        <v>0.81980937719345093</v>
      </c>
      <c r="G16" s="6">
        <v>4.1677136421203613</v>
      </c>
      <c r="H16" s="6">
        <v>3.207636833190918</v>
      </c>
      <c r="I16" s="7">
        <v>1.643132209777832</v>
      </c>
      <c r="J16" s="7">
        <v>0.83562791347503662</v>
      </c>
      <c r="K16" s="8"/>
      <c r="L16" s="9"/>
      <c r="M16">
        <v>0</v>
      </c>
      <c r="N16">
        <v>0</v>
      </c>
      <c r="O16">
        <v>0</v>
      </c>
      <c r="P16" s="9" t="s">
        <v>122</v>
      </c>
    </row>
    <row r="17" spans="1:16" ht="22" thickBot="1" x14ac:dyDescent="0.3">
      <c r="A17" s="15" t="s">
        <v>25</v>
      </c>
      <c r="B17" s="4" t="s">
        <v>29</v>
      </c>
      <c r="C17" s="5">
        <v>1.4899638891220093</v>
      </c>
      <c r="D17" s="6">
        <v>4.9681897163391113</v>
      </c>
      <c r="E17" s="6">
        <v>7.8706512451171875</v>
      </c>
      <c r="F17" s="6">
        <v>0.78858965635299683</v>
      </c>
      <c r="G17" s="6">
        <v>4.1796002388000488</v>
      </c>
      <c r="H17" s="6">
        <v>2.9024615287780762</v>
      </c>
      <c r="I17" s="7">
        <v>1.5842090845108032</v>
      </c>
      <c r="J17" s="7">
        <v>0.84127229452133179</v>
      </c>
      <c r="K17" s="8"/>
      <c r="L17" s="9"/>
      <c r="M17">
        <v>0</v>
      </c>
      <c r="N17">
        <v>0</v>
      </c>
      <c r="O17">
        <v>0</v>
      </c>
      <c r="P17" s="9" t="s">
        <v>122</v>
      </c>
    </row>
    <row r="18" spans="1:16" ht="22" thickBot="1" x14ac:dyDescent="0.3">
      <c r="A18" s="15" t="s">
        <v>25</v>
      </c>
      <c r="B18" s="10" t="s">
        <v>30</v>
      </c>
      <c r="C18" s="11">
        <v>1.2153292894363403</v>
      </c>
      <c r="D18" s="12">
        <v>4.4049687385559082</v>
      </c>
      <c r="E18" s="12">
        <v>8.2102718353271484</v>
      </c>
      <c r="F18" s="12">
        <v>0.61333686113357544</v>
      </c>
      <c r="G18" s="12">
        <v>3.7916319370269775</v>
      </c>
      <c r="H18" s="12">
        <v>3.8053030967712402</v>
      </c>
      <c r="I18" s="13">
        <v>1.8638660907745361</v>
      </c>
      <c r="J18" s="13">
        <v>0.86076253652572632</v>
      </c>
      <c r="K18" s="14"/>
      <c r="L18" s="9"/>
      <c r="M18">
        <v>0</v>
      </c>
      <c r="N18">
        <v>0</v>
      </c>
      <c r="O18">
        <v>0</v>
      </c>
      <c r="P18" s="9" t="s">
        <v>122</v>
      </c>
    </row>
    <row r="19" spans="1:16" ht="19" customHeight="1" thickBot="1" x14ac:dyDescent="0.3">
      <c r="A19" s="15" t="s">
        <v>31</v>
      </c>
      <c r="B19" s="4" t="s">
        <v>32</v>
      </c>
      <c r="C19" s="5">
        <v>1.341059684753418</v>
      </c>
      <c r="D19" s="6">
        <v>4.7151985168457031</v>
      </c>
      <c r="E19" s="6">
        <v>9.0234766006469727</v>
      </c>
      <c r="F19" s="6">
        <v>0.58912438154220581</v>
      </c>
      <c r="G19" s="6">
        <v>4.1260743141174316</v>
      </c>
      <c r="H19" s="6">
        <v>4.3082780838012695</v>
      </c>
      <c r="I19" s="7">
        <v>1.9137002229690552</v>
      </c>
      <c r="J19" s="7">
        <v>0.87505847215652466</v>
      </c>
      <c r="K19" s="8"/>
      <c r="L19" s="9"/>
      <c r="M19">
        <v>1</v>
      </c>
      <c r="N19" s="18">
        <f>G19/AVERAGE(G$14:G$18)</f>
        <v>1.0108951489479481</v>
      </c>
      <c r="O19" s="18">
        <f>D19/AVERAGE(D$14:D$18)</f>
        <v>1.0025750144194157</v>
      </c>
      <c r="P19" s="9" t="s">
        <v>122</v>
      </c>
    </row>
    <row r="20" spans="1:16" ht="22" thickBot="1" x14ac:dyDescent="0.3">
      <c r="A20" s="15" t="s">
        <v>31</v>
      </c>
      <c r="B20" s="4" t="s">
        <v>33</v>
      </c>
      <c r="C20" s="5">
        <v>1.1878933906555176</v>
      </c>
      <c r="D20" s="6">
        <v>4.6538066864013672</v>
      </c>
      <c r="E20" s="6">
        <v>8.4935026168823242</v>
      </c>
      <c r="F20" s="6">
        <v>0.52444922924041748</v>
      </c>
      <c r="G20" s="6">
        <v>4.1293573379516602</v>
      </c>
      <c r="H20" s="6">
        <v>3.839695930480957</v>
      </c>
      <c r="I20" s="7">
        <v>1.8250656127929688</v>
      </c>
      <c r="J20" s="7">
        <v>0.88730746507644653</v>
      </c>
      <c r="K20" s="8"/>
      <c r="L20" s="9"/>
      <c r="M20">
        <v>1</v>
      </c>
      <c r="N20" s="18">
        <f t="shared" ref="N20:N22" si="2">G20/AVERAGE(G$14:G$18)</f>
        <v>1.0116994953109177</v>
      </c>
      <c r="O20" s="18">
        <f t="shared" ref="O20:O22" si="3">D20/AVERAGE(D$14:D$18)</f>
        <v>0.98952149926558508</v>
      </c>
      <c r="P20" s="9" t="s">
        <v>122</v>
      </c>
    </row>
    <row r="21" spans="1:16" ht="22" thickBot="1" x14ac:dyDescent="0.3">
      <c r="A21" s="15" t="s">
        <v>31</v>
      </c>
      <c r="B21" s="4" t="s">
        <v>34</v>
      </c>
      <c r="C21" s="5">
        <v>1.1788011789321899</v>
      </c>
      <c r="D21" s="6">
        <v>4.8264365196228027</v>
      </c>
      <c r="E21" s="6">
        <v>8.2485570907592773</v>
      </c>
      <c r="F21" s="6">
        <v>0.59201759099960327</v>
      </c>
      <c r="G21" s="6">
        <v>4.2344188690185547</v>
      </c>
      <c r="H21" s="6">
        <v>3.4221205711364746</v>
      </c>
      <c r="I21" s="7">
        <v>1.7090367078781128</v>
      </c>
      <c r="J21" s="7">
        <v>0.87733858823776245</v>
      </c>
      <c r="K21" s="8"/>
      <c r="L21" s="9"/>
      <c r="M21">
        <v>1</v>
      </c>
      <c r="N21" s="18">
        <f t="shared" si="2"/>
        <v>1.0374397471850008</v>
      </c>
      <c r="O21" s="18">
        <f t="shared" si="3"/>
        <v>1.0262271346514273</v>
      </c>
      <c r="P21" s="9" t="s">
        <v>122</v>
      </c>
    </row>
    <row r="22" spans="1:16" ht="22" thickBot="1" x14ac:dyDescent="0.3">
      <c r="A22" s="15" t="s">
        <v>31</v>
      </c>
      <c r="B22" s="4" t="s">
        <v>35</v>
      </c>
      <c r="C22" s="5">
        <v>1.6396437883377075</v>
      </c>
      <c r="D22" s="6">
        <v>4.4395432472229004</v>
      </c>
      <c r="E22" s="6">
        <v>7.4509487152099609</v>
      </c>
      <c r="F22" s="6">
        <v>0.65954411029815674</v>
      </c>
      <c r="G22" s="6">
        <v>3.7799992561340332</v>
      </c>
      <c r="H22" s="6">
        <v>3.0114054679870605</v>
      </c>
      <c r="I22" s="7">
        <v>1.678314208984375</v>
      </c>
      <c r="J22" s="7">
        <v>0.85143876075744629</v>
      </c>
      <c r="K22" s="8"/>
      <c r="L22" s="9"/>
      <c r="M22">
        <v>1</v>
      </c>
      <c r="N22" s="18">
        <f t="shared" si="2"/>
        <v>0.92610617748170609</v>
      </c>
      <c r="O22" s="18">
        <f t="shared" si="3"/>
        <v>0.94396346605522341</v>
      </c>
      <c r="P22" s="9" t="s">
        <v>122</v>
      </c>
    </row>
    <row r="23" spans="1:16" ht="22" thickBot="1" x14ac:dyDescent="0.3">
      <c r="A23" s="15" t="s">
        <v>31</v>
      </c>
      <c r="B23" s="10" t="s">
        <v>36</v>
      </c>
      <c r="C23" s="11">
        <v>1.4987668991088867</v>
      </c>
      <c r="D23" s="12">
        <v>4.4918031692504883</v>
      </c>
      <c r="E23" s="12">
        <v>7.5892500877380371</v>
      </c>
      <c r="F23" s="12">
        <v>0.73415142297744751</v>
      </c>
      <c r="G23" s="12">
        <v>3.7576518058776855</v>
      </c>
      <c r="H23" s="12">
        <v>3.0974469184875488</v>
      </c>
      <c r="I23" s="13">
        <v>1.689577579498291</v>
      </c>
      <c r="J23" s="13">
        <v>0.83655756711959839</v>
      </c>
      <c r="K23" s="14"/>
      <c r="L23" s="9"/>
      <c r="M23">
        <v>1</v>
      </c>
      <c r="N23" s="18">
        <f>G23/AVERAGE(G$14:G$18)</f>
        <v>0.92063101457002461</v>
      </c>
      <c r="O23" s="18">
        <f>D23/AVERAGE(D$14:D$18)</f>
        <v>0.95507529769776822</v>
      </c>
      <c r="P23" s="9" t="s">
        <v>122</v>
      </c>
    </row>
    <row r="24" spans="1:16" ht="19" customHeight="1" thickBot="1" x14ac:dyDescent="0.3">
      <c r="A24" s="15" t="s">
        <v>37</v>
      </c>
      <c r="B24" s="4" t="s">
        <v>38</v>
      </c>
      <c r="C24" s="5">
        <v>0.98921811580657959</v>
      </c>
      <c r="D24" s="6">
        <v>4.074589729309082</v>
      </c>
      <c r="E24" s="6">
        <v>7.9416308403015137</v>
      </c>
      <c r="F24" s="6">
        <v>0.81340175867080688</v>
      </c>
      <c r="G24" s="6">
        <v>3.2611880302429199</v>
      </c>
      <c r="H24" s="6">
        <v>3.8670411109924316</v>
      </c>
      <c r="I24" s="7">
        <v>1.949062705039978</v>
      </c>
      <c r="J24" s="7">
        <v>0.80037212371826172</v>
      </c>
      <c r="K24" s="8"/>
      <c r="L24" s="9"/>
      <c r="M24">
        <v>0</v>
      </c>
      <c r="N24">
        <v>0</v>
      </c>
      <c r="O24">
        <v>0</v>
      </c>
      <c r="P24" s="9" t="s">
        <v>123</v>
      </c>
    </row>
    <row r="25" spans="1:16" ht="22" thickBot="1" x14ac:dyDescent="0.3">
      <c r="A25" s="15" t="s">
        <v>37</v>
      </c>
      <c r="B25" s="4" t="s">
        <v>39</v>
      </c>
      <c r="C25" s="5">
        <v>0.79258972406387329</v>
      </c>
      <c r="D25" s="6">
        <v>4.0186176300048828</v>
      </c>
      <c r="E25" s="6">
        <v>7.536931037902832</v>
      </c>
      <c r="F25" s="6">
        <v>0.5811154842376709</v>
      </c>
      <c r="G25" s="6">
        <v>3.4375021457672119</v>
      </c>
      <c r="H25" s="6">
        <v>3.5183134078979492</v>
      </c>
      <c r="I25" s="7">
        <v>1.8755034208297729</v>
      </c>
      <c r="J25" s="7">
        <v>0.85539418458938599</v>
      </c>
      <c r="K25" s="8"/>
      <c r="L25" s="9"/>
      <c r="M25">
        <v>0</v>
      </c>
      <c r="N25">
        <v>0</v>
      </c>
      <c r="O25">
        <v>0</v>
      </c>
      <c r="P25" s="9" t="s">
        <v>123</v>
      </c>
    </row>
    <row r="26" spans="1:16" ht="22" thickBot="1" x14ac:dyDescent="0.3">
      <c r="A26" s="15" t="s">
        <v>37</v>
      </c>
      <c r="B26" s="4" t="s">
        <v>40</v>
      </c>
      <c r="C26" s="5">
        <v>0.81974279880523682</v>
      </c>
      <c r="D26" s="6">
        <v>3.9072082042694092</v>
      </c>
      <c r="E26" s="6">
        <v>5.8771557807922363</v>
      </c>
      <c r="F26" s="6">
        <v>0.53042912483215332</v>
      </c>
      <c r="G26" s="6">
        <v>3.3767790794372559</v>
      </c>
      <c r="H26" s="6">
        <v>1.9699475765228271</v>
      </c>
      <c r="I26" s="7">
        <v>1.5041829347610474</v>
      </c>
      <c r="J26" s="7">
        <v>0.86424344778060913</v>
      </c>
      <c r="K26" s="8"/>
      <c r="L26" s="9"/>
      <c r="M26">
        <v>0</v>
      </c>
      <c r="N26">
        <v>0</v>
      </c>
      <c r="O26">
        <v>0</v>
      </c>
      <c r="P26" s="9" t="s">
        <v>123</v>
      </c>
    </row>
    <row r="27" spans="1:16" ht="22" thickBot="1" x14ac:dyDescent="0.3">
      <c r="A27" s="15" t="s">
        <v>37</v>
      </c>
      <c r="B27" s="4" t="s">
        <v>41</v>
      </c>
      <c r="C27" s="5">
        <v>0.77209413051605225</v>
      </c>
      <c r="D27" s="6">
        <v>3.8512246608734131</v>
      </c>
      <c r="E27" s="6">
        <v>7.1569638252258301</v>
      </c>
      <c r="F27" s="6">
        <v>0.46015706658363342</v>
      </c>
      <c r="G27" s="6">
        <v>3.3910675048828125</v>
      </c>
      <c r="H27" s="6">
        <v>3.305739164352417</v>
      </c>
      <c r="I27" s="7">
        <v>1.8583605289459229</v>
      </c>
      <c r="J27" s="7">
        <v>0.8805166482925415</v>
      </c>
      <c r="K27" s="8"/>
      <c r="L27" s="9"/>
      <c r="M27">
        <v>0</v>
      </c>
      <c r="N27">
        <v>0</v>
      </c>
      <c r="O27">
        <v>0</v>
      </c>
      <c r="P27" s="9" t="s">
        <v>123</v>
      </c>
    </row>
    <row r="28" spans="1:16" ht="22" thickBot="1" x14ac:dyDescent="0.3">
      <c r="A28" s="15" t="s">
        <v>37</v>
      </c>
      <c r="B28" s="4" t="s">
        <v>42</v>
      </c>
      <c r="C28" s="5">
        <v>0.74989205598831177</v>
      </c>
      <c r="D28" s="6">
        <v>3.680126428604126</v>
      </c>
      <c r="E28" s="6">
        <v>4.9799666404724121</v>
      </c>
      <c r="F28" s="6">
        <v>0.42761987447738647</v>
      </c>
      <c r="G28" s="6">
        <v>3.2525064945220947</v>
      </c>
      <c r="H28" s="6">
        <v>1.2998402118682861</v>
      </c>
      <c r="I28" s="7">
        <v>1.3532053232192993</v>
      </c>
      <c r="J28" s="7">
        <v>0.88380295038223267</v>
      </c>
      <c r="K28" s="8"/>
      <c r="L28" s="9"/>
      <c r="M28">
        <v>0</v>
      </c>
      <c r="N28">
        <v>0</v>
      </c>
      <c r="O28">
        <v>0</v>
      </c>
      <c r="P28" s="9" t="s">
        <v>123</v>
      </c>
    </row>
    <row r="29" spans="1:16" ht="22" thickBot="1" x14ac:dyDescent="0.3">
      <c r="A29" s="15" t="s">
        <v>37</v>
      </c>
      <c r="B29" s="10" t="s">
        <v>43</v>
      </c>
      <c r="C29" s="11">
        <v>0.90120548009872437</v>
      </c>
      <c r="D29" s="12">
        <v>3.9964187145233154</v>
      </c>
      <c r="E29" s="12">
        <v>5.8787212371826172</v>
      </c>
      <c r="F29" s="12">
        <v>0.49743238091468811</v>
      </c>
      <c r="G29" s="12">
        <v>3.4989862442016602</v>
      </c>
      <c r="H29" s="12">
        <v>1.8823025226593018</v>
      </c>
      <c r="I29" s="13">
        <v>1.4709973335266113</v>
      </c>
      <c r="J29" s="13">
        <v>0.8755304217338562</v>
      </c>
      <c r="K29" s="14"/>
      <c r="L29" s="9"/>
      <c r="M29">
        <v>0</v>
      </c>
      <c r="N29">
        <v>0</v>
      </c>
      <c r="O29">
        <v>0</v>
      </c>
      <c r="P29" s="9" t="s">
        <v>123</v>
      </c>
    </row>
    <row r="30" spans="1:16" ht="19" customHeight="1" thickBot="1" x14ac:dyDescent="0.3">
      <c r="A30" s="15" t="s">
        <v>44</v>
      </c>
      <c r="B30" s="4" t="s">
        <v>45</v>
      </c>
      <c r="C30" s="5">
        <v>1.0268584489822388</v>
      </c>
      <c r="D30" s="6">
        <v>4.0819711685180664</v>
      </c>
      <c r="E30" s="6">
        <v>7.931398868560791</v>
      </c>
      <c r="F30" s="6">
        <v>0.81894963979721069</v>
      </c>
      <c r="G30" s="6">
        <v>3.2630214691162109</v>
      </c>
      <c r="H30" s="6">
        <v>3.8494277000427246</v>
      </c>
      <c r="I30" s="7">
        <v>1.9430315494537354</v>
      </c>
      <c r="J30" s="7">
        <v>0.79937398433685303</v>
      </c>
      <c r="K30" s="8"/>
      <c r="L30" s="9"/>
      <c r="M30">
        <v>1</v>
      </c>
      <c r="N30" s="18">
        <f>G30/AVERAGE(G$24:G$29)</f>
        <v>0.96834999749176187</v>
      </c>
      <c r="O30" s="18">
        <f>D30/AVERAGE(D$24:D$29)</f>
        <v>1.0409569046005487</v>
      </c>
      <c r="P30" s="9" t="s">
        <v>123</v>
      </c>
    </row>
    <row r="31" spans="1:16" ht="22" thickBot="1" x14ac:dyDescent="0.3">
      <c r="A31" s="15" t="s">
        <v>44</v>
      </c>
      <c r="B31" s="4" t="s">
        <v>46</v>
      </c>
      <c r="C31" s="5">
        <v>1.0024387836456299</v>
      </c>
      <c r="D31" s="6">
        <v>4.017876148223877</v>
      </c>
      <c r="E31" s="6">
        <v>8.1084461212158203</v>
      </c>
      <c r="F31" s="6">
        <v>0.77197468280792236</v>
      </c>
      <c r="G31" s="6">
        <v>3.2459015846252441</v>
      </c>
      <c r="H31" s="6">
        <v>4.0905699729919434</v>
      </c>
      <c r="I31" s="7">
        <v>2.0180926322937012</v>
      </c>
      <c r="J31" s="7">
        <v>0.80786502361297607</v>
      </c>
      <c r="K31" s="8"/>
      <c r="L31" s="9"/>
      <c r="M31">
        <v>1</v>
      </c>
      <c r="N31" s="18">
        <f t="shared" ref="N31:N33" si="4">G31/AVERAGE(G$24:G$29)</f>
        <v>0.96326941795503662</v>
      </c>
      <c r="O31" s="18">
        <f t="shared" ref="O31:O33" si="5">D31/AVERAGE(D$24:D$29)</f>
        <v>1.0246118224891601</v>
      </c>
      <c r="P31" s="9" t="s">
        <v>123</v>
      </c>
    </row>
    <row r="32" spans="1:16" ht="22" thickBot="1" x14ac:dyDescent="0.3">
      <c r="A32" s="15" t="s">
        <v>44</v>
      </c>
      <c r="B32" s="4" t="s">
        <v>47</v>
      </c>
      <c r="C32" s="5">
        <v>0.97009223699569702</v>
      </c>
      <c r="D32" s="6">
        <v>4.0531835556030273</v>
      </c>
      <c r="E32" s="6">
        <v>8.1781425476074219</v>
      </c>
      <c r="F32" s="6">
        <v>0.69383996725082397</v>
      </c>
      <c r="G32" s="6">
        <v>3.3593435287475586</v>
      </c>
      <c r="H32" s="6">
        <v>4.1249589920043945</v>
      </c>
      <c r="I32" s="7">
        <v>2.0177083015441895</v>
      </c>
      <c r="J32" s="7">
        <v>0.82881605625152588</v>
      </c>
      <c r="K32" s="8"/>
      <c r="L32" s="9"/>
      <c r="M32">
        <v>1</v>
      </c>
      <c r="N32" s="18">
        <f t="shared" si="4"/>
        <v>0.99693499672796981</v>
      </c>
      <c r="O32" s="18">
        <f t="shared" si="5"/>
        <v>1.0336156806688379</v>
      </c>
      <c r="P32" s="9" t="s">
        <v>123</v>
      </c>
    </row>
    <row r="33" spans="1:16" ht="22" thickBot="1" x14ac:dyDescent="0.3">
      <c r="A33" s="15" t="s">
        <v>44</v>
      </c>
      <c r="B33" s="4" t="s">
        <v>48</v>
      </c>
      <c r="C33" s="5">
        <v>1.0336322784423828</v>
      </c>
      <c r="D33" s="6">
        <v>3.7931966781616211</v>
      </c>
      <c r="E33" s="6">
        <v>7.1528854370117188</v>
      </c>
      <c r="F33" s="6">
        <v>0.66731917858123779</v>
      </c>
      <c r="G33" s="6">
        <v>3.1258773803710938</v>
      </c>
      <c r="H33" s="6">
        <v>3.3596887588500977</v>
      </c>
      <c r="I33" s="7">
        <v>1.8857144117355347</v>
      </c>
      <c r="J33" s="7">
        <v>0.82407468557357788</v>
      </c>
      <c r="K33" s="8"/>
      <c r="L33" s="9"/>
      <c r="M33">
        <v>1</v>
      </c>
      <c r="N33" s="18">
        <f t="shared" si="4"/>
        <v>0.92765045590145967</v>
      </c>
      <c r="O33" s="18">
        <f t="shared" si="5"/>
        <v>0.96731557123508594</v>
      </c>
      <c r="P33" s="9" t="s">
        <v>123</v>
      </c>
    </row>
    <row r="34" spans="1:16" ht="22" thickBot="1" x14ac:dyDescent="0.3">
      <c r="A34" s="15" t="s">
        <v>44</v>
      </c>
      <c r="B34" s="4" t="s">
        <v>49</v>
      </c>
      <c r="C34" s="5">
        <v>1.0924748182296753</v>
      </c>
      <c r="D34" s="6">
        <v>3.6685762405395508</v>
      </c>
      <c r="E34" s="6">
        <v>6.8647036552429199</v>
      </c>
      <c r="F34" s="6">
        <v>0.65071499347686768</v>
      </c>
      <c r="G34" s="6">
        <v>3.0178613662719727</v>
      </c>
      <c r="H34" s="6">
        <v>3.1961274147033691</v>
      </c>
      <c r="I34" s="7">
        <v>1.8712173700332642</v>
      </c>
      <c r="J34" s="7">
        <v>0.82262468338012695</v>
      </c>
      <c r="K34" s="8"/>
      <c r="L34" s="9"/>
      <c r="M34">
        <v>1</v>
      </c>
      <c r="N34" s="18">
        <f t="shared" ref="N34" si="6">G34/AVERAGE(G$24:G$29)</f>
        <v>0.89559510230604367</v>
      </c>
      <c r="O34" s="18">
        <f t="shared" ref="O34" si="7">D34/AVERAGE(D$24:D$29)</f>
        <v>0.93553570321506463</v>
      </c>
      <c r="P34" s="9" t="s">
        <v>123</v>
      </c>
    </row>
    <row r="35" spans="1:16" ht="22" thickBot="1" x14ac:dyDescent="0.3">
      <c r="A35" s="15" t="s">
        <v>44</v>
      </c>
      <c r="B35" s="10" t="s">
        <v>50</v>
      </c>
      <c r="C35" s="11">
        <v>1.1236580610275269</v>
      </c>
      <c r="D35" s="12">
        <v>3.5114688873291016</v>
      </c>
      <c r="E35" s="12">
        <v>6.4519467353820801</v>
      </c>
      <c r="F35" s="12">
        <v>0.618705153465271</v>
      </c>
      <c r="G35" s="12">
        <v>2.892763614654541</v>
      </c>
      <c r="H35" s="12">
        <v>2.9404778480529785</v>
      </c>
      <c r="I35" s="13">
        <v>1.8373925685882568</v>
      </c>
      <c r="J35" s="13">
        <v>0.82380443811416626</v>
      </c>
      <c r="K35" s="14"/>
      <c r="L35" s="9"/>
      <c r="M35">
        <v>1</v>
      </c>
      <c r="N35" s="18">
        <f>G35/AVERAGE(G$24:G$29)</f>
        <v>0.8584704898535932</v>
      </c>
      <c r="O35" s="18">
        <f>D35/AVERAGE(D$24:D$29)</f>
        <v>0.89547123991134481</v>
      </c>
      <c r="P35" s="9" t="s">
        <v>123</v>
      </c>
    </row>
    <row r="36" spans="1:16" ht="19" customHeight="1" thickBot="1" x14ac:dyDescent="0.3">
      <c r="A36" s="15" t="s">
        <v>51</v>
      </c>
      <c r="B36" s="4" t="s">
        <v>52</v>
      </c>
      <c r="C36" s="5">
        <v>1.0757970809936523</v>
      </c>
      <c r="D36" s="6">
        <v>4.1511425971984863</v>
      </c>
      <c r="E36" s="6">
        <v>7.1136765480041504</v>
      </c>
      <c r="F36" s="6">
        <v>0.81909072399139404</v>
      </c>
      <c r="G36" s="6">
        <v>3.3320517539978027</v>
      </c>
      <c r="H36" s="6">
        <v>2.9625339508056641</v>
      </c>
      <c r="I36" s="7">
        <v>1.7136671543121338</v>
      </c>
      <c r="J36" s="7">
        <v>0.80268305540084839</v>
      </c>
      <c r="K36" s="8"/>
      <c r="L36" s="9"/>
      <c r="M36">
        <v>0</v>
      </c>
      <c r="N36">
        <v>0</v>
      </c>
      <c r="O36">
        <v>0</v>
      </c>
      <c r="P36" s="9" t="s">
        <v>124</v>
      </c>
    </row>
    <row r="37" spans="1:16" ht="22" thickBot="1" x14ac:dyDescent="0.3">
      <c r="A37" s="15" t="s">
        <v>51</v>
      </c>
      <c r="B37" s="4" t="s">
        <v>53</v>
      </c>
      <c r="C37" s="5">
        <v>0.93801414966583252</v>
      </c>
      <c r="D37" s="6">
        <v>4.3643202781677246</v>
      </c>
      <c r="E37" s="6">
        <v>7.6533827781677246</v>
      </c>
      <c r="F37" s="6">
        <v>0.61504983901977539</v>
      </c>
      <c r="G37" s="6">
        <v>3.7492704391479492</v>
      </c>
      <c r="H37" s="6">
        <v>3.2890625</v>
      </c>
      <c r="I37" s="7">
        <v>1.7536253929138184</v>
      </c>
      <c r="J37" s="7">
        <v>0.85907316207885742</v>
      </c>
      <c r="K37" s="8"/>
      <c r="L37" s="9"/>
      <c r="M37">
        <v>0</v>
      </c>
      <c r="N37">
        <v>0</v>
      </c>
      <c r="O37">
        <v>0</v>
      </c>
      <c r="P37" s="9" t="s">
        <v>124</v>
      </c>
    </row>
    <row r="38" spans="1:16" ht="22" thickBot="1" x14ac:dyDescent="0.3">
      <c r="A38" s="15" t="s">
        <v>51</v>
      </c>
      <c r="B38" s="4" t="s">
        <v>54</v>
      </c>
      <c r="C38" s="5">
        <v>0.9812358021736145</v>
      </c>
      <c r="D38" s="6">
        <v>4.3337316513061523</v>
      </c>
      <c r="E38" s="6">
        <v>7.4816536903381348</v>
      </c>
      <c r="F38" s="6">
        <v>0.79906219244003296</v>
      </c>
      <c r="G38" s="6">
        <v>3.5346693992614746</v>
      </c>
      <c r="H38" s="6">
        <v>3.1479220390319824</v>
      </c>
      <c r="I38" s="7">
        <v>1.7263767719268799</v>
      </c>
      <c r="J38" s="7">
        <v>0.81561797857284546</v>
      </c>
      <c r="K38" s="8"/>
      <c r="L38" s="9"/>
      <c r="M38">
        <v>0</v>
      </c>
      <c r="N38">
        <v>0</v>
      </c>
      <c r="O38">
        <v>0</v>
      </c>
      <c r="P38" s="9" t="s">
        <v>124</v>
      </c>
    </row>
    <row r="39" spans="1:16" ht="22" thickBot="1" x14ac:dyDescent="0.3">
      <c r="A39" s="15" t="s">
        <v>51</v>
      </c>
      <c r="B39" s="4" t="s">
        <v>55</v>
      </c>
      <c r="C39" s="5">
        <v>0.92250579595565796</v>
      </c>
      <c r="D39" s="6">
        <v>4.1743950843811035</v>
      </c>
      <c r="E39" s="6">
        <v>7.3937501907348633</v>
      </c>
      <c r="F39" s="6">
        <v>0.57486361265182495</v>
      </c>
      <c r="G39" s="6">
        <v>3.5995314121246338</v>
      </c>
      <c r="H39" s="6">
        <v>3.2193551063537598</v>
      </c>
      <c r="I39" s="7">
        <v>1.7712147235870361</v>
      </c>
      <c r="J39" s="7">
        <v>0.86228817701339722</v>
      </c>
      <c r="K39" s="8"/>
      <c r="L39" s="9"/>
      <c r="M39">
        <v>0</v>
      </c>
      <c r="N39">
        <v>0</v>
      </c>
      <c r="O39">
        <v>0</v>
      </c>
      <c r="P39" s="9" t="s">
        <v>124</v>
      </c>
    </row>
    <row r="40" spans="1:16" ht="22" thickBot="1" x14ac:dyDescent="0.3">
      <c r="A40" s="15" t="s">
        <v>51</v>
      </c>
      <c r="B40" s="4" t="s">
        <v>56</v>
      </c>
      <c r="C40" s="5">
        <v>0.96095937490463257</v>
      </c>
      <c r="D40" s="6">
        <v>4.3107571601867676</v>
      </c>
      <c r="E40" s="6">
        <v>7.9056200981140137</v>
      </c>
      <c r="F40" s="6">
        <v>0.77991747856140137</v>
      </c>
      <c r="G40" s="6">
        <v>3.5308396816253662</v>
      </c>
      <c r="H40" s="6">
        <v>3.5948629379272461</v>
      </c>
      <c r="I40" s="7">
        <v>1.8339284658432007</v>
      </c>
      <c r="J40" s="7">
        <v>0.81907647848129272</v>
      </c>
      <c r="K40" s="8"/>
      <c r="L40" s="9"/>
      <c r="M40">
        <v>0</v>
      </c>
      <c r="N40">
        <v>0</v>
      </c>
      <c r="O40">
        <v>0</v>
      </c>
      <c r="P40" s="9" t="s">
        <v>124</v>
      </c>
    </row>
    <row r="41" spans="1:16" ht="22" thickBot="1" x14ac:dyDescent="0.3">
      <c r="A41" s="15" t="s">
        <v>51</v>
      </c>
      <c r="B41" s="10" t="s">
        <v>57</v>
      </c>
      <c r="C41" s="11">
        <v>1.0370216369628906</v>
      </c>
      <c r="D41" s="12">
        <v>4.2887692451477051</v>
      </c>
      <c r="E41" s="12">
        <v>7.2537140846252441</v>
      </c>
      <c r="F41" s="12">
        <v>0.79821681976318359</v>
      </c>
      <c r="G41" s="12">
        <v>3.4905524253845215</v>
      </c>
      <c r="H41" s="12">
        <v>2.9649448394775391</v>
      </c>
      <c r="I41" s="13">
        <v>1.691327691078186</v>
      </c>
      <c r="J41" s="13">
        <v>0.81388205289840698</v>
      </c>
      <c r="K41" s="14"/>
      <c r="L41" s="9"/>
      <c r="M41">
        <v>0</v>
      </c>
      <c r="N41">
        <v>0</v>
      </c>
      <c r="O41">
        <v>0</v>
      </c>
      <c r="P41" s="9" t="s">
        <v>124</v>
      </c>
    </row>
    <row r="42" spans="1:16" ht="19" customHeight="1" thickBot="1" x14ac:dyDescent="0.3">
      <c r="A42" s="15" t="s">
        <v>58</v>
      </c>
      <c r="B42" s="4" t="s">
        <v>59</v>
      </c>
      <c r="C42" s="5">
        <v>1.1309711933135986</v>
      </c>
      <c r="D42" s="6">
        <v>4.2483081817626953</v>
      </c>
      <c r="E42" s="6">
        <v>7.0130939483642578</v>
      </c>
      <c r="F42" s="6">
        <v>0.7604326605796814</v>
      </c>
      <c r="G42" s="6">
        <v>3.4878754615783691</v>
      </c>
      <c r="H42" s="6">
        <v>2.7647857666015625</v>
      </c>
      <c r="I42" s="7">
        <v>1.6507968902587891</v>
      </c>
      <c r="J42" s="7">
        <v>0.82100337743759155</v>
      </c>
      <c r="K42" s="8"/>
      <c r="L42" s="9"/>
      <c r="M42">
        <v>1</v>
      </c>
      <c r="N42" s="18">
        <f>G42/AVERAGE(G$36:G$41)</f>
        <v>0.98541867590254484</v>
      </c>
      <c r="O42" s="18">
        <f>D42/AVERAGE(D$36:D$41)</f>
        <v>0.9947989570930198</v>
      </c>
      <c r="P42" s="9" t="s">
        <v>124</v>
      </c>
    </row>
    <row r="43" spans="1:16" ht="22" thickBot="1" x14ac:dyDescent="0.3">
      <c r="A43" s="15" t="s">
        <v>58</v>
      </c>
      <c r="B43" s="4" t="s">
        <v>60</v>
      </c>
      <c r="C43" s="5">
        <v>1.29361891746521</v>
      </c>
      <c r="D43" s="6">
        <v>4.2339096069335938</v>
      </c>
      <c r="E43" s="6">
        <v>8.2542352676391602</v>
      </c>
      <c r="F43" s="6">
        <v>0.9202340841293335</v>
      </c>
      <c r="G43" s="6">
        <v>3.3136754035949707</v>
      </c>
      <c r="H43" s="6">
        <v>4.0203256607055664</v>
      </c>
      <c r="I43" s="7">
        <v>1.9495539665222168</v>
      </c>
      <c r="J43" s="7">
        <v>0.78265142440795898</v>
      </c>
      <c r="K43" s="8"/>
      <c r="L43" s="9"/>
      <c r="M43">
        <v>1</v>
      </c>
      <c r="N43" s="18">
        <f t="shared" ref="N43:N47" si="8">G43/AVERAGE(G$36:G$41)</f>
        <v>0.93620247183473515</v>
      </c>
      <c r="O43" s="18">
        <f t="shared" ref="O43:O47" si="9">D43/AVERAGE(D$36:D$41)</f>
        <v>0.99142733558846285</v>
      </c>
      <c r="P43" s="9" t="s">
        <v>124</v>
      </c>
    </row>
    <row r="44" spans="1:16" ht="22" thickBot="1" x14ac:dyDescent="0.3">
      <c r="A44" s="15" t="s">
        <v>58</v>
      </c>
      <c r="B44" s="4" t="s">
        <v>61</v>
      </c>
      <c r="C44" s="5">
        <v>0.97734147310256958</v>
      </c>
      <c r="D44" s="6">
        <v>3.9110748767852783</v>
      </c>
      <c r="E44" s="6">
        <v>7.6963963508605957</v>
      </c>
      <c r="F44" s="6">
        <v>0.65017992258071899</v>
      </c>
      <c r="G44" s="6">
        <v>3.2608950138092041</v>
      </c>
      <c r="H44" s="6">
        <v>3.7853214740753174</v>
      </c>
      <c r="I44" s="7">
        <v>1.9678468704223633</v>
      </c>
      <c r="J44" s="7">
        <v>0.83375930786132812</v>
      </c>
      <c r="K44" s="8"/>
      <c r="L44" s="9"/>
      <c r="M44">
        <v>1</v>
      </c>
      <c r="N44" s="18">
        <f t="shared" si="8"/>
        <v>0.92129059141089287</v>
      </c>
      <c r="O44" s="18">
        <f t="shared" si="9"/>
        <v>0.91583120670035156</v>
      </c>
      <c r="P44" s="9" t="s">
        <v>124</v>
      </c>
    </row>
    <row r="45" spans="1:16" ht="22" thickBot="1" x14ac:dyDescent="0.3">
      <c r="A45" s="15" t="s">
        <v>58</v>
      </c>
      <c r="B45" s="4" t="s">
        <v>62</v>
      </c>
      <c r="C45" s="5">
        <v>1.1112444400787354</v>
      </c>
      <c r="D45" s="6">
        <v>3.8290529251098633</v>
      </c>
      <c r="E45" s="6">
        <v>7.7627015113830566</v>
      </c>
      <c r="F45" s="6">
        <v>0.72215574979782104</v>
      </c>
      <c r="G45" s="6">
        <v>3.1068971157073975</v>
      </c>
      <c r="H45" s="6">
        <v>3.9336485862731934</v>
      </c>
      <c r="I45" s="7">
        <v>2.0273163318634033</v>
      </c>
      <c r="J45" s="7">
        <v>0.81140094995498657</v>
      </c>
      <c r="K45" s="8"/>
      <c r="L45" s="9"/>
      <c r="M45">
        <v>1</v>
      </c>
      <c r="N45" s="18">
        <f t="shared" si="8"/>
        <v>0.87778204114557323</v>
      </c>
      <c r="O45" s="18">
        <f t="shared" si="9"/>
        <v>0.89662465470496844</v>
      </c>
      <c r="P45" s="9" t="s">
        <v>124</v>
      </c>
    </row>
    <row r="46" spans="1:16" ht="22" thickBot="1" x14ac:dyDescent="0.3">
      <c r="A46" s="15" t="s">
        <v>58</v>
      </c>
      <c r="B46" s="4" t="s">
        <v>63</v>
      </c>
      <c r="C46" s="5">
        <v>1.1044577360153198</v>
      </c>
      <c r="D46" s="6">
        <v>4.1798415184020996</v>
      </c>
      <c r="E46" s="6">
        <v>7.0022425651550293</v>
      </c>
      <c r="F46" s="6">
        <v>0.55905425548553467</v>
      </c>
      <c r="G46" s="6">
        <v>3.6207871437072754</v>
      </c>
      <c r="H46" s="6">
        <v>2.8224010467529297</v>
      </c>
      <c r="I46" s="7">
        <v>1.6752411127090454</v>
      </c>
      <c r="J46" s="7">
        <v>0.86624985933303833</v>
      </c>
      <c r="K46" s="8"/>
      <c r="L46" s="9"/>
      <c r="M46">
        <v>1</v>
      </c>
      <c r="N46" s="18">
        <f t="shared" si="8"/>
        <v>1.0229698027298133</v>
      </c>
      <c r="O46" s="18">
        <f t="shared" si="9"/>
        <v>0.97876655963203818</v>
      </c>
      <c r="P46" s="9" t="s">
        <v>124</v>
      </c>
    </row>
    <row r="47" spans="1:16" ht="22" thickBot="1" x14ac:dyDescent="0.3">
      <c r="A47" s="15" t="s">
        <v>58</v>
      </c>
      <c r="B47" s="10" t="s">
        <v>64</v>
      </c>
      <c r="C47" s="11">
        <v>1.1802114248275757</v>
      </c>
      <c r="D47" s="12">
        <v>3.9193611145019531</v>
      </c>
      <c r="E47" s="12">
        <v>8.1504697799682617</v>
      </c>
      <c r="F47" s="12">
        <v>0.58750456571578979</v>
      </c>
      <c r="G47" s="12">
        <v>3.3318564891815186</v>
      </c>
      <c r="H47" s="12">
        <v>4.2311086654663086</v>
      </c>
      <c r="I47" s="13">
        <v>2.079540491104126</v>
      </c>
      <c r="J47" s="13">
        <v>0.85010194778442383</v>
      </c>
      <c r="K47" s="14"/>
      <c r="L47" s="9"/>
      <c r="M47">
        <v>1</v>
      </c>
      <c r="N47" s="18">
        <f t="shared" si="8"/>
        <v>0.94133911776218449</v>
      </c>
      <c r="O47" s="18">
        <f t="shared" si="9"/>
        <v>0.91777154160217422</v>
      </c>
      <c r="P47" s="9" t="s">
        <v>124</v>
      </c>
    </row>
    <row r="48" spans="1:16" ht="19" customHeight="1" thickBot="1" x14ac:dyDescent="0.3">
      <c r="A48" s="15" t="s">
        <v>65</v>
      </c>
      <c r="B48" s="4" t="s">
        <v>66</v>
      </c>
      <c r="C48" s="5">
        <v>0.7727808952331543</v>
      </c>
      <c r="D48" s="6">
        <v>2.5797171592712402</v>
      </c>
      <c r="E48" s="6">
        <v>4.3593754768371582</v>
      </c>
      <c r="F48" s="6">
        <v>0.39369615912437439</v>
      </c>
      <c r="G48" s="6">
        <v>2.186021089553833</v>
      </c>
      <c r="H48" s="6">
        <v>1.779658317565918</v>
      </c>
      <c r="I48" s="7">
        <v>1.6898657083511353</v>
      </c>
      <c r="J48" s="7">
        <v>0.84738790988922119</v>
      </c>
      <c r="K48" s="8"/>
      <c r="L48" s="9"/>
      <c r="M48">
        <v>0</v>
      </c>
      <c r="N48">
        <v>0</v>
      </c>
      <c r="O48">
        <v>0</v>
      </c>
      <c r="P48" s="9" t="s">
        <v>123</v>
      </c>
    </row>
    <row r="49" spans="1:16" ht="22" thickBot="1" x14ac:dyDescent="0.3">
      <c r="A49" s="15" t="s">
        <v>65</v>
      </c>
      <c r="B49" s="4" t="s">
        <v>67</v>
      </c>
      <c r="C49" s="5">
        <v>0.82999908924102783</v>
      </c>
      <c r="D49" s="6">
        <v>2.7547967433929443</v>
      </c>
      <c r="E49" s="6">
        <v>5.3272876739501953</v>
      </c>
      <c r="F49" s="6">
        <v>0.51468491554260254</v>
      </c>
      <c r="G49" s="6">
        <v>2.2401118278503418</v>
      </c>
      <c r="H49" s="6">
        <v>2.572490930557251</v>
      </c>
      <c r="I49" s="7">
        <v>1.9338223934173584</v>
      </c>
      <c r="J49" s="7">
        <v>0.8131677508354187</v>
      </c>
      <c r="K49" s="8"/>
      <c r="L49" s="9"/>
      <c r="M49">
        <v>0</v>
      </c>
      <c r="N49">
        <v>0</v>
      </c>
      <c r="O49">
        <v>0</v>
      </c>
      <c r="P49" s="9" t="s">
        <v>123</v>
      </c>
    </row>
    <row r="50" spans="1:16" ht="22" thickBot="1" x14ac:dyDescent="0.3">
      <c r="A50" s="15" t="s">
        <v>65</v>
      </c>
      <c r="B50" s="4" t="s">
        <v>68</v>
      </c>
      <c r="C50" s="5">
        <v>0.80045509338378906</v>
      </c>
      <c r="D50" s="6">
        <v>2.8157997131347656</v>
      </c>
      <c r="E50" s="6">
        <v>5.279655933380127</v>
      </c>
      <c r="F50" s="6">
        <v>0.50430643558502197</v>
      </c>
      <c r="G50" s="6">
        <v>2.3114933967590332</v>
      </c>
      <c r="H50" s="6">
        <v>2.4638562202453613</v>
      </c>
      <c r="I50" s="7">
        <v>1.8750112056732178</v>
      </c>
      <c r="J50" s="7">
        <v>0.82090121507644653</v>
      </c>
      <c r="K50" s="8"/>
      <c r="L50" s="9"/>
      <c r="M50">
        <v>0</v>
      </c>
      <c r="N50">
        <v>0</v>
      </c>
      <c r="O50">
        <v>0</v>
      </c>
      <c r="P50" s="9" t="s">
        <v>123</v>
      </c>
    </row>
    <row r="51" spans="1:16" ht="22" thickBot="1" x14ac:dyDescent="0.3">
      <c r="A51" s="15" t="s">
        <v>65</v>
      </c>
      <c r="B51" s="4" t="s">
        <v>69</v>
      </c>
      <c r="C51" s="5">
        <v>0.72952532768249512</v>
      </c>
      <c r="D51" s="6">
        <v>2.7668612003326416</v>
      </c>
      <c r="E51" s="6">
        <v>5.2990365028381348</v>
      </c>
      <c r="F51" s="6">
        <v>0.43144333362579346</v>
      </c>
      <c r="G51" s="6">
        <v>2.3354177474975586</v>
      </c>
      <c r="H51" s="6">
        <v>2.5321753025054932</v>
      </c>
      <c r="I51" s="7">
        <v>1.9151797294616699</v>
      </c>
      <c r="J51" s="7">
        <v>0.84406757354736328</v>
      </c>
      <c r="K51" s="8"/>
      <c r="L51" s="9"/>
      <c r="M51">
        <v>0</v>
      </c>
      <c r="N51">
        <v>0</v>
      </c>
      <c r="O51">
        <v>0</v>
      </c>
      <c r="P51" s="9" t="s">
        <v>123</v>
      </c>
    </row>
    <row r="52" spans="1:16" ht="22" thickBot="1" x14ac:dyDescent="0.3">
      <c r="A52" s="15" t="s">
        <v>65</v>
      </c>
      <c r="B52" s="4" t="s">
        <v>70</v>
      </c>
      <c r="C52" s="5">
        <v>0.67128139734268188</v>
      </c>
      <c r="D52" s="6">
        <v>2.5093178749084473</v>
      </c>
      <c r="E52" s="6">
        <v>4.7682938575744629</v>
      </c>
      <c r="F52" s="6">
        <v>0.49815553426742554</v>
      </c>
      <c r="G52" s="6">
        <v>2.011162281036377</v>
      </c>
      <c r="H52" s="6">
        <v>2.2589759826660156</v>
      </c>
      <c r="I52" s="7">
        <v>1.9002350568771362</v>
      </c>
      <c r="J52" s="7">
        <v>0.80147767066955566</v>
      </c>
      <c r="K52" s="8"/>
      <c r="L52" s="9"/>
      <c r="M52">
        <v>0</v>
      </c>
      <c r="N52">
        <v>0</v>
      </c>
      <c r="O52">
        <v>0</v>
      </c>
      <c r="P52" s="9" t="s">
        <v>123</v>
      </c>
    </row>
    <row r="53" spans="1:16" ht="22" thickBot="1" x14ac:dyDescent="0.3">
      <c r="A53" s="15" t="s">
        <v>65</v>
      </c>
      <c r="B53" s="10" t="s">
        <v>71</v>
      </c>
      <c r="C53" s="11">
        <v>0.7309798002243042</v>
      </c>
      <c r="D53" s="12">
        <v>2.7884740829467773</v>
      </c>
      <c r="E53" s="12">
        <v>5.2703781127929688</v>
      </c>
      <c r="F53" s="12">
        <v>0.48685306310653687</v>
      </c>
      <c r="G53" s="12">
        <v>2.3016209602355957</v>
      </c>
      <c r="H53" s="12">
        <v>2.4819040298461914</v>
      </c>
      <c r="I53" s="13">
        <v>1.890058159828186</v>
      </c>
      <c r="J53" s="13">
        <v>0.82540518045425415</v>
      </c>
      <c r="K53" s="14"/>
      <c r="L53" s="9"/>
      <c r="M53">
        <v>0</v>
      </c>
      <c r="N53">
        <v>0</v>
      </c>
      <c r="O53">
        <v>0</v>
      </c>
      <c r="P53" s="9" t="s">
        <v>123</v>
      </c>
    </row>
    <row r="54" spans="1:16" ht="19" customHeight="1" thickBot="1" x14ac:dyDescent="0.3">
      <c r="A54" s="15" t="s">
        <v>72</v>
      </c>
      <c r="B54" s="4" t="s">
        <v>73</v>
      </c>
      <c r="C54" s="5">
        <v>0.91207379102706909</v>
      </c>
      <c r="D54" s="6">
        <v>3.0288627147674561</v>
      </c>
      <c r="E54" s="6">
        <v>5.9860749244689941</v>
      </c>
      <c r="F54" s="6">
        <v>1.3843944072723389</v>
      </c>
      <c r="G54" s="6">
        <v>1.6444683074951172</v>
      </c>
      <c r="H54" s="6">
        <v>2.9572122097015381</v>
      </c>
      <c r="I54" s="7">
        <v>1.976344108581543</v>
      </c>
      <c r="J54" s="7">
        <v>0.54293256998062134</v>
      </c>
      <c r="K54" s="8"/>
      <c r="L54" s="9"/>
      <c r="M54">
        <v>1</v>
      </c>
      <c r="N54" s="18">
        <f>G54/AVERAGE(G$48:G$53)</f>
        <v>0.73710870622161362</v>
      </c>
      <c r="O54" s="18">
        <f>D54/AVERAGE(D$48:D$53)</f>
        <v>1.1207655582593863</v>
      </c>
      <c r="P54" s="9" t="s">
        <v>123</v>
      </c>
    </row>
    <row r="55" spans="1:16" ht="22" thickBot="1" x14ac:dyDescent="0.3">
      <c r="A55" s="15" t="s">
        <v>72</v>
      </c>
      <c r="B55" s="4" t="s">
        <v>74</v>
      </c>
      <c r="C55" s="5">
        <v>1.0134409666061401</v>
      </c>
      <c r="D55" s="6">
        <v>2.8747305870056152</v>
      </c>
      <c r="E55" s="6">
        <v>5.7170233726501465</v>
      </c>
      <c r="F55" s="6">
        <v>0.63502639532089233</v>
      </c>
      <c r="G55" s="6">
        <v>2.2397041320800781</v>
      </c>
      <c r="H55" s="6">
        <v>2.8422927856445312</v>
      </c>
      <c r="I55" s="7">
        <v>1.9887162446975708</v>
      </c>
      <c r="J55" s="7">
        <v>0.77910053730010986</v>
      </c>
      <c r="K55" s="8"/>
      <c r="L55" s="9"/>
      <c r="M55">
        <v>1</v>
      </c>
      <c r="N55" s="18">
        <f t="shared" ref="N55:N59" si="10">G55/AVERAGE(G$48:G$53)</f>
        <v>1.0039144005343807</v>
      </c>
      <c r="O55" s="18">
        <f t="shared" ref="O55:O59" si="11">D55/AVERAGE(D$48:D$53)</f>
        <v>1.0637322766337549</v>
      </c>
      <c r="P55" s="9" t="s">
        <v>123</v>
      </c>
    </row>
    <row r="56" spans="1:16" ht="22" thickBot="1" x14ac:dyDescent="0.3">
      <c r="A56" s="15" t="s">
        <v>72</v>
      </c>
      <c r="B56" s="4" t="s">
        <v>75</v>
      </c>
      <c r="C56" s="5">
        <v>0.80057054758071899</v>
      </c>
      <c r="D56" s="6">
        <v>2.5415959358215332</v>
      </c>
      <c r="E56" s="6">
        <v>5.2124261856079102</v>
      </c>
      <c r="F56" s="6">
        <v>0.52709561586380005</v>
      </c>
      <c r="G56" s="6">
        <v>2.0145003795623779</v>
      </c>
      <c r="H56" s="6">
        <v>2.670830249786377</v>
      </c>
      <c r="I56" s="7">
        <v>2.0508477687835693</v>
      </c>
      <c r="J56" s="7">
        <v>0.79261237382888794</v>
      </c>
      <c r="K56" s="8"/>
      <c r="L56" s="9"/>
      <c r="M56">
        <v>1</v>
      </c>
      <c r="N56" s="18">
        <f t="shared" si="10"/>
        <v>0.90297013429465744</v>
      </c>
      <c r="O56" s="18">
        <f t="shared" si="11"/>
        <v>0.94046295792561441</v>
      </c>
      <c r="P56" s="9" t="s">
        <v>123</v>
      </c>
    </row>
    <row r="57" spans="1:16" ht="22" thickBot="1" x14ac:dyDescent="0.3">
      <c r="A57" s="15" t="s">
        <v>72</v>
      </c>
      <c r="B57" s="4" t="s">
        <v>76</v>
      </c>
      <c r="C57" s="5">
        <v>0.96534943580627441</v>
      </c>
      <c r="D57" s="6">
        <v>2.9103069305419922</v>
      </c>
      <c r="E57" s="6">
        <v>6.1706490516662598</v>
      </c>
      <c r="F57" s="6">
        <v>0.60745716094970703</v>
      </c>
      <c r="G57" s="6">
        <v>2.3028497695922852</v>
      </c>
      <c r="H57" s="6">
        <v>3.2603421211242676</v>
      </c>
      <c r="I57" s="7">
        <v>2.1202743053436279</v>
      </c>
      <c r="J57" s="7">
        <v>0.79127383232116699</v>
      </c>
      <c r="K57" s="8"/>
      <c r="L57" s="9"/>
      <c r="M57">
        <v>1</v>
      </c>
      <c r="N57" s="18">
        <f t="shared" si="10"/>
        <v>1.0322185028135304</v>
      </c>
      <c r="O57" s="18">
        <f t="shared" si="11"/>
        <v>1.0768965380345681</v>
      </c>
      <c r="P57" s="9" t="s">
        <v>123</v>
      </c>
    </row>
    <row r="58" spans="1:16" ht="22" thickBot="1" x14ac:dyDescent="0.3">
      <c r="A58" s="15" t="s">
        <v>72</v>
      </c>
      <c r="B58" s="4" t="s">
        <v>77</v>
      </c>
      <c r="C58" s="5">
        <v>0.8804551362991333</v>
      </c>
      <c r="D58" s="6">
        <v>2.663637638092041</v>
      </c>
      <c r="E58" s="6">
        <v>5.3641252517700195</v>
      </c>
      <c r="F58" s="6">
        <v>0.63413184881210327</v>
      </c>
      <c r="G58" s="6">
        <v>2.029505729675293</v>
      </c>
      <c r="H58" s="6">
        <v>2.7004876136779785</v>
      </c>
      <c r="I58" s="7">
        <v>2.0138344764709473</v>
      </c>
      <c r="J58" s="7">
        <v>0.76193010807037354</v>
      </c>
      <c r="K58" s="8"/>
      <c r="L58" s="9"/>
      <c r="M58">
        <v>1</v>
      </c>
      <c r="N58" s="18">
        <f t="shared" si="10"/>
        <v>0.90969606154890825</v>
      </c>
      <c r="O58" s="18">
        <f t="shared" si="11"/>
        <v>0.98562186721168055</v>
      </c>
      <c r="P58" s="9" t="s">
        <v>123</v>
      </c>
    </row>
    <row r="59" spans="1:16" ht="22" thickBot="1" x14ac:dyDescent="0.3">
      <c r="A59" s="15" t="s">
        <v>72</v>
      </c>
      <c r="B59" s="10" t="s">
        <v>78</v>
      </c>
      <c r="C59" s="11">
        <v>0.89077037572860718</v>
      </c>
      <c r="D59" s="12">
        <v>1.8962714672088623</v>
      </c>
      <c r="E59" s="12">
        <v>3.6695079803466797</v>
      </c>
      <c r="F59" s="12">
        <v>0.43311569094657898</v>
      </c>
      <c r="G59" s="12">
        <v>1.4631557464599609</v>
      </c>
      <c r="H59" s="12">
        <v>1.7732365131378174</v>
      </c>
      <c r="I59" s="13">
        <v>1.9351174831390381</v>
      </c>
      <c r="J59" s="13">
        <v>0.77159613370895386</v>
      </c>
      <c r="K59" s="14"/>
      <c r="L59" s="9"/>
      <c r="M59">
        <v>1</v>
      </c>
      <c r="N59" s="18">
        <f t="shared" si="10"/>
        <v>0.65583802032440408</v>
      </c>
      <c r="O59" s="18">
        <f t="shared" si="11"/>
        <v>0.70167450614243387</v>
      </c>
      <c r="P59" s="9" t="s">
        <v>123</v>
      </c>
    </row>
    <row r="60" spans="1:16" ht="19" customHeight="1" thickBot="1" x14ac:dyDescent="0.3">
      <c r="A60" s="15" t="s">
        <v>79</v>
      </c>
      <c r="B60" s="4" t="s">
        <v>80</v>
      </c>
      <c r="C60" s="5">
        <v>0.86706715822219849</v>
      </c>
      <c r="D60" s="6">
        <v>2.7532849311828613</v>
      </c>
      <c r="E60" s="6">
        <v>5.1265196800231934</v>
      </c>
      <c r="F60" s="6">
        <v>0.38204589486122131</v>
      </c>
      <c r="G60" s="6">
        <v>2.3712389469146729</v>
      </c>
      <c r="H60" s="6">
        <v>2.373234748840332</v>
      </c>
      <c r="I60" s="7">
        <v>1.8619648218154907</v>
      </c>
      <c r="J60" s="7">
        <v>0.86123991012573242</v>
      </c>
      <c r="K60" s="8"/>
      <c r="L60" s="9"/>
      <c r="M60">
        <v>0</v>
      </c>
      <c r="N60">
        <v>0</v>
      </c>
      <c r="O60">
        <v>0</v>
      </c>
      <c r="P60" s="9" t="s">
        <v>124</v>
      </c>
    </row>
    <row r="61" spans="1:16" ht="22" thickBot="1" x14ac:dyDescent="0.3">
      <c r="A61" s="15" t="s">
        <v>79</v>
      </c>
      <c r="B61" s="4" t="s">
        <v>81</v>
      </c>
      <c r="C61" s="5">
        <v>0.8744242787361145</v>
      </c>
      <c r="D61" s="6">
        <v>3.1495301723480225</v>
      </c>
      <c r="E61" s="6">
        <v>5.3348865509033203</v>
      </c>
      <c r="F61" s="6">
        <v>0.48525768518447876</v>
      </c>
      <c r="G61" s="6">
        <v>2.6642725467681885</v>
      </c>
      <c r="H61" s="6">
        <v>2.1853563785552979</v>
      </c>
      <c r="I61" s="7">
        <v>1.6938674449920654</v>
      </c>
      <c r="J61" s="7">
        <v>0.84592700004577637</v>
      </c>
      <c r="K61" s="8"/>
      <c r="L61" s="9"/>
      <c r="M61">
        <v>0</v>
      </c>
      <c r="N61">
        <v>0</v>
      </c>
      <c r="O61">
        <v>0</v>
      </c>
      <c r="P61" s="9" t="s">
        <v>124</v>
      </c>
    </row>
    <row r="62" spans="1:16" ht="22" thickBot="1" x14ac:dyDescent="0.3">
      <c r="A62" s="15" t="s">
        <v>79</v>
      </c>
      <c r="B62" s="4" t="s">
        <v>82</v>
      </c>
      <c r="C62" s="5">
        <v>0.81285804510116577</v>
      </c>
      <c r="D62" s="6">
        <v>2.8125977516174316</v>
      </c>
      <c r="E62" s="6">
        <v>4.7074308395385742</v>
      </c>
      <c r="F62" s="6">
        <v>0.48524656891822815</v>
      </c>
      <c r="G62" s="6">
        <v>2.3273510932922363</v>
      </c>
      <c r="H62" s="6">
        <v>1.8948330879211426</v>
      </c>
      <c r="I62" s="7">
        <v>1.6736949682235718</v>
      </c>
      <c r="J62" s="7">
        <v>0.82747387886047363</v>
      </c>
      <c r="K62" s="8"/>
      <c r="L62" s="9"/>
      <c r="M62">
        <v>0</v>
      </c>
      <c r="N62">
        <v>0</v>
      </c>
      <c r="O62">
        <v>0</v>
      </c>
      <c r="P62" s="9" t="s">
        <v>124</v>
      </c>
    </row>
    <row r="63" spans="1:16" ht="22" thickBot="1" x14ac:dyDescent="0.3">
      <c r="A63" s="15" t="s">
        <v>79</v>
      </c>
      <c r="B63" s="4" t="s">
        <v>83</v>
      </c>
      <c r="C63" s="5">
        <v>0.89162647724151611</v>
      </c>
      <c r="D63" s="6">
        <v>3.0108020305633545</v>
      </c>
      <c r="E63" s="6">
        <v>5.5599250793457031</v>
      </c>
      <c r="F63" s="6">
        <v>0.506794273853302</v>
      </c>
      <c r="G63" s="6">
        <v>2.5040078163146973</v>
      </c>
      <c r="H63" s="6">
        <v>2.5491230487823486</v>
      </c>
      <c r="I63" s="7">
        <v>1.8466591835021973</v>
      </c>
      <c r="J63" s="7">
        <v>0.83167469501495361</v>
      </c>
      <c r="K63" s="8"/>
      <c r="L63" s="9"/>
      <c r="M63">
        <v>0</v>
      </c>
      <c r="N63">
        <v>0</v>
      </c>
      <c r="O63">
        <v>0</v>
      </c>
      <c r="P63" s="9" t="s">
        <v>124</v>
      </c>
    </row>
    <row r="64" spans="1:16" ht="22" thickBot="1" x14ac:dyDescent="0.3">
      <c r="A64" s="15" t="s">
        <v>79</v>
      </c>
      <c r="B64" s="4" t="s">
        <v>84</v>
      </c>
      <c r="C64" s="5">
        <v>0.88582956790924072</v>
      </c>
      <c r="D64" s="6">
        <v>2.9651634693145752</v>
      </c>
      <c r="E64" s="6">
        <v>5.4848246574401855</v>
      </c>
      <c r="F64" s="6">
        <v>0.61810308694839478</v>
      </c>
      <c r="G64" s="6">
        <v>2.3470604419708252</v>
      </c>
      <c r="H64" s="6">
        <v>2.5196611881256104</v>
      </c>
      <c r="I64" s="7">
        <v>1.8497545719146729</v>
      </c>
      <c r="J64" s="7">
        <v>0.79154503345489502</v>
      </c>
      <c r="K64" s="8"/>
      <c r="L64" s="9"/>
      <c r="M64">
        <v>0</v>
      </c>
      <c r="N64">
        <v>0</v>
      </c>
      <c r="O64">
        <v>0</v>
      </c>
      <c r="P64" s="9" t="s">
        <v>124</v>
      </c>
    </row>
    <row r="65" spans="1:16" ht="22" thickBot="1" x14ac:dyDescent="0.3">
      <c r="A65" s="15" t="s">
        <v>79</v>
      </c>
      <c r="B65" s="10" t="s">
        <v>85</v>
      </c>
      <c r="C65" s="11">
        <v>0.91884511709213257</v>
      </c>
      <c r="D65" s="12">
        <v>2.9058389663696289</v>
      </c>
      <c r="E65" s="12">
        <v>5.6949453353881836</v>
      </c>
      <c r="F65" s="12">
        <v>0.67391598224639893</v>
      </c>
      <c r="G65" s="12">
        <v>2.2319231033325195</v>
      </c>
      <c r="H65" s="12">
        <v>2.7891063690185547</v>
      </c>
      <c r="I65" s="13">
        <v>1.95982825756073</v>
      </c>
      <c r="J65" s="13">
        <v>0.7680821418762207</v>
      </c>
      <c r="K65" s="14"/>
      <c r="L65" s="9"/>
      <c r="M65">
        <v>0</v>
      </c>
      <c r="N65">
        <v>0</v>
      </c>
      <c r="O65">
        <v>0</v>
      </c>
      <c r="P65" s="9" t="s">
        <v>124</v>
      </c>
    </row>
    <row r="66" spans="1:16" ht="19" customHeight="1" thickBot="1" x14ac:dyDescent="0.3">
      <c r="A66" s="15" t="s">
        <v>86</v>
      </c>
      <c r="B66" s="4" t="s">
        <v>87</v>
      </c>
      <c r="C66" s="5">
        <v>0.87238436937332153</v>
      </c>
      <c r="D66" s="6">
        <v>3.0494883060455322</v>
      </c>
      <c r="E66" s="6">
        <v>5.7106747627258301</v>
      </c>
      <c r="F66" s="6">
        <v>0.65623301267623901</v>
      </c>
      <c r="G66" s="6">
        <v>2.3932552337646484</v>
      </c>
      <c r="H66" s="6">
        <v>2.6611864566802979</v>
      </c>
      <c r="I66" s="7">
        <v>1.872666597366333</v>
      </c>
      <c r="J66" s="7">
        <v>0.7848055362701416</v>
      </c>
      <c r="K66" s="8"/>
      <c r="L66" s="9"/>
      <c r="M66">
        <v>1</v>
      </c>
      <c r="N66" s="18">
        <f>G66/AVERAGE(G$60:G$65)</f>
        <v>0.99402440684279125</v>
      </c>
      <c r="O66" s="18">
        <f>D66/AVERAGE(D$60:D$65)</f>
        <v>1.0397626796383632</v>
      </c>
      <c r="P66" s="9" t="s">
        <v>124</v>
      </c>
    </row>
    <row r="67" spans="1:16" ht="22" thickBot="1" x14ac:dyDescent="0.3">
      <c r="A67" s="15" t="s">
        <v>86</v>
      </c>
      <c r="B67" s="4" t="s">
        <v>88</v>
      </c>
      <c r="C67" s="5">
        <v>0.82722514867782593</v>
      </c>
      <c r="D67" s="6">
        <v>2.8743071556091309</v>
      </c>
      <c r="E67" s="6">
        <v>5.7451601028442383</v>
      </c>
      <c r="F67" s="6">
        <v>0.53607642650604248</v>
      </c>
      <c r="G67" s="6">
        <v>2.3382306098937988</v>
      </c>
      <c r="H67" s="6">
        <v>2.8708529472351074</v>
      </c>
      <c r="I67" s="7">
        <v>1.9987982511520386</v>
      </c>
      <c r="J67" s="7">
        <v>0.81349366903305054</v>
      </c>
      <c r="K67" s="8"/>
      <c r="L67" s="9"/>
      <c r="M67">
        <v>1</v>
      </c>
      <c r="N67" s="18">
        <f t="shared" ref="N67:N71" si="12">G67/AVERAGE(G$60:G$65)</f>
        <v>0.97117025475182051</v>
      </c>
      <c r="O67" s="18">
        <f t="shared" ref="O67:O71" si="13">D67/AVERAGE(D$60:D$65)</f>
        <v>0.98003238913723789</v>
      </c>
      <c r="P67" s="9" t="s">
        <v>124</v>
      </c>
    </row>
    <row r="68" spans="1:16" ht="22" thickBot="1" x14ac:dyDescent="0.3">
      <c r="A68" s="15" t="s">
        <v>86</v>
      </c>
      <c r="B68" s="4" t="s">
        <v>89</v>
      </c>
      <c r="C68" s="5">
        <v>0.82085299491882324</v>
      </c>
      <c r="D68" s="6">
        <v>2.891855001449585</v>
      </c>
      <c r="E68" s="6">
        <v>5.697906494140625</v>
      </c>
      <c r="F68" s="6">
        <v>0.49986404180526733</v>
      </c>
      <c r="G68" s="6">
        <v>2.3919909000396729</v>
      </c>
      <c r="H68" s="6">
        <v>2.80605149269104</v>
      </c>
      <c r="I68" s="7">
        <v>1.9703292846679688</v>
      </c>
      <c r="J68" s="7">
        <v>0.82714760303497314</v>
      </c>
      <c r="K68" s="8"/>
      <c r="L68" s="9"/>
      <c r="M68">
        <v>1</v>
      </c>
      <c r="N68" s="18">
        <f t="shared" si="12"/>
        <v>0.99349927330780963</v>
      </c>
      <c r="O68" s="18">
        <f t="shared" si="13"/>
        <v>0.98601555528900842</v>
      </c>
      <c r="P68" s="9" t="s">
        <v>124</v>
      </c>
    </row>
    <row r="69" spans="1:16" ht="22" thickBot="1" x14ac:dyDescent="0.3">
      <c r="A69" s="15" t="s">
        <v>86</v>
      </c>
      <c r="B69" s="4" t="s">
        <v>90</v>
      </c>
      <c r="C69" s="5">
        <v>0.84423649311065674</v>
      </c>
      <c r="D69" s="6">
        <v>2.8416106700897217</v>
      </c>
      <c r="E69" s="6">
        <v>5.7564435005187988</v>
      </c>
      <c r="F69" s="6">
        <v>0.47192347049713135</v>
      </c>
      <c r="G69" s="6">
        <v>2.3696870803833008</v>
      </c>
      <c r="H69" s="6">
        <v>2.9148328304290771</v>
      </c>
      <c r="I69" s="7">
        <v>2.0257678031921387</v>
      </c>
      <c r="J69" s="7">
        <v>0.83392393589019775</v>
      </c>
      <c r="K69" s="8"/>
      <c r="L69" s="9"/>
      <c r="M69">
        <v>1</v>
      </c>
      <c r="N69" s="18">
        <f t="shared" si="12"/>
        <v>0.98423551372568641</v>
      </c>
      <c r="O69" s="18">
        <f t="shared" si="13"/>
        <v>0.96888409736283743</v>
      </c>
      <c r="P69" s="9" t="s">
        <v>124</v>
      </c>
    </row>
    <row r="70" spans="1:16" ht="22" thickBot="1" x14ac:dyDescent="0.3">
      <c r="A70" s="15" t="s">
        <v>86</v>
      </c>
      <c r="B70" s="4" t="s">
        <v>91</v>
      </c>
      <c r="C70" s="5">
        <v>0.77785050868988037</v>
      </c>
      <c r="D70" s="6">
        <v>2.7914824485778809</v>
      </c>
      <c r="E70" s="6">
        <v>5.3422408103942871</v>
      </c>
      <c r="F70" s="6">
        <v>0.49727839231491089</v>
      </c>
      <c r="G70" s="6">
        <v>2.2942039966583252</v>
      </c>
      <c r="H70" s="6">
        <v>2.5507583618164062</v>
      </c>
      <c r="I70" s="7">
        <v>1.9137648344039917</v>
      </c>
      <c r="J70" s="7">
        <v>0.82185864448547363</v>
      </c>
      <c r="K70" s="8"/>
      <c r="L70" s="9"/>
      <c r="M70">
        <v>1</v>
      </c>
      <c r="N70" s="18">
        <f t="shared" si="12"/>
        <v>0.95288406133238834</v>
      </c>
      <c r="O70" s="18">
        <f t="shared" si="13"/>
        <v>0.95179222859871482</v>
      </c>
      <c r="P70" s="9" t="s">
        <v>124</v>
      </c>
    </row>
    <row r="71" spans="1:16" ht="22" thickBot="1" x14ac:dyDescent="0.3">
      <c r="A71" s="15" t="s">
        <v>86</v>
      </c>
      <c r="B71" s="10" t="s">
        <v>92</v>
      </c>
      <c r="C71" s="11">
        <v>0.87034511566162109</v>
      </c>
      <c r="D71" s="12">
        <v>2.4893288612365723</v>
      </c>
      <c r="E71" s="12">
        <v>5.1707658767700195</v>
      </c>
      <c r="F71" s="12">
        <v>0.37053009867668152</v>
      </c>
      <c r="G71" s="12">
        <v>2.1187987327575684</v>
      </c>
      <c r="H71" s="12">
        <v>2.6814370155334473</v>
      </c>
      <c r="I71" s="13">
        <v>2.0771727561950684</v>
      </c>
      <c r="J71" s="13">
        <v>0.85115259885787964</v>
      </c>
      <c r="K71" s="14"/>
      <c r="L71" s="9"/>
      <c r="M71">
        <v>1</v>
      </c>
      <c r="N71" s="18">
        <f t="shared" si="12"/>
        <v>0.8800305223758329</v>
      </c>
      <c r="O71" s="18">
        <f t="shared" si="13"/>
        <v>0.84876903516212632</v>
      </c>
      <c r="P71" s="9" t="s">
        <v>124</v>
      </c>
    </row>
    <row r="72" spans="1:16" ht="19" customHeight="1" thickBot="1" x14ac:dyDescent="0.3">
      <c r="A72" s="15" t="s">
        <v>93</v>
      </c>
      <c r="B72" s="4" t="s">
        <v>94</v>
      </c>
      <c r="C72" s="5">
        <v>0.98001164197921753</v>
      </c>
      <c r="D72" s="6">
        <v>3.5913548469543457</v>
      </c>
      <c r="E72" s="6">
        <v>6.2347230911254883</v>
      </c>
      <c r="F72" s="6">
        <v>0.60163003206253052</v>
      </c>
      <c r="G72" s="6">
        <v>2.98972487449646</v>
      </c>
      <c r="H72" s="6">
        <v>2.6433682441711426</v>
      </c>
      <c r="I72" s="7">
        <v>1.7360365390777588</v>
      </c>
      <c r="J72" s="7">
        <v>0.83247828483581543</v>
      </c>
      <c r="K72" s="8"/>
      <c r="L72" s="9"/>
      <c r="M72">
        <v>0</v>
      </c>
      <c r="N72">
        <v>0</v>
      </c>
      <c r="O72">
        <v>0</v>
      </c>
      <c r="P72" s="9" t="s">
        <v>123</v>
      </c>
    </row>
    <row r="73" spans="1:16" ht="22" thickBot="1" x14ac:dyDescent="0.3">
      <c r="A73" s="15" t="s">
        <v>93</v>
      </c>
      <c r="B73" s="4" t="s">
        <v>95</v>
      </c>
      <c r="C73" s="5">
        <v>0.79812061786651611</v>
      </c>
      <c r="D73" s="6">
        <v>3.4997785091400146</v>
      </c>
      <c r="E73" s="6">
        <v>6.5482583045959473</v>
      </c>
      <c r="F73" s="6">
        <v>0.61929935216903687</v>
      </c>
      <c r="G73" s="6">
        <v>2.880479097366333</v>
      </c>
      <c r="H73" s="6">
        <v>3.0484797954559326</v>
      </c>
      <c r="I73" s="7">
        <v>1.8710494041442871</v>
      </c>
      <c r="J73" s="7">
        <v>0.82304608821868896</v>
      </c>
      <c r="K73" s="8"/>
      <c r="L73" s="9"/>
      <c r="M73">
        <v>0</v>
      </c>
      <c r="N73">
        <v>0</v>
      </c>
      <c r="O73">
        <v>0</v>
      </c>
      <c r="P73" s="9" t="s">
        <v>123</v>
      </c>
    </row>
    <row r="74" spans="1:16" ht="22" thickBot="1" x14ac:dyDescent="0.3">
      <c r="A74" s="15" t="s">
        <v>93</v>
      </c>
      <c r="B74" s="4" t="s">
        <v>96</v>
      </c>
      <c r="C74" s="5">
        <v>0.84297776222229004</v>
      </c>
      <c r="D74" s="6">
        <v>3.5880017280578613</v>
      </c>
      <c r="E74" s="6">
        <v>7.065101146697998</v>
      </c>
      <c r="F74" s="6">
        <v>0.75270718336105347</v>
      </c>
      <c r="G74" s="6">
        <v>2.8352944850921631</v>
      </c>
      <c r="H74" s="6">
        <v>3.4770994186401367</v>
      </c>
      <c r="I74" s="7">
        <v>1.9690908193588257</v>
      </c>
      <c r="J74" s="7">
        <v>0.79021549224853516</v>
      </c>
      <c r="K74" s="8"/>
      <c r="L74" s="9"/>
      <c r="M74">
        <v>0</v>
      </c>
      <c r="N74">
        <v>0</v>
      </c>
      <c r="O74">
        <v>0</v>
      </c>
      <c r="P74" s="9" t="s">
        <v>123</v>
      </c>
    </row>
    <row r="75" spans="1:16" ht="22" thickBot="1" x14ac:dyDescent="0.3">
      <c r="A75" s="15" t="s">
        <v>93</v>
      </c>
      <c r="B75" s="4" t="s">
        <v>97</v>
      </c>
      <c r="C75" s="5">
        <v>0.84619671106338501</v>
      </c>
      <c r="D75" s="6">
        <v>3.699160099029541</v>
      </c>
      <c r="E75" s="6">
        <v>7.4204540252685547</v>
      </c>
      <c r="F75" s="6">
        <v>0.61185866594314575</v>
      </c>
      <c r="G75" s="6">
        <v>3.08730149269104</v>
      </c>
      <c r="H75" s="6">
        <v>3.7212939262390137</v>
      </c>
      <c r="I75" s="7">
        <v>2.0059835910797119</v>
      </c>
      <c r="J75" s="7">
        <v>0.83459526300430298</v>
      </c>
      <c r="K75" s="8"/>
      <c r="L75" s="9"/>
      <c r="M75">
        <v>0</v>
      </c>
      <c r="N75">
        <v>0</v>
      </c>
      <c r="O75">
        <v>0</v>
      </c>
      <c r="P75" s="9" t="s">
        <v>123</v>
      </c>
    </row>
    <row r="76" spans="1:16" ht="22" thickBot="1" x14ac:dyDescent="0.3">
      <c r="A76" s="15" t="s">
        <v>93</v>
      </c>
      <c r="B76" s="4" t="s">
        <v>98</v>
      </c>
      <c r="C76" s="5">
        <v>0.87225866317749023</v>
      </c>
      <c r="D76" s="6">
        <v>3.5212216377258301</v>
      </c>
      <c r="E76" s="6">
        <v>7.3148379325866699</v>
      </c>
      <c r="F76" s="6">
        <v>0.73527580499649048</v>
      </c>
      <c r="G76" s="6">
        <v>2.7859458923339844</v>
      </c>
      <c r="H76" s="6">
        <v>3.7936162948608398</v>
      </c>
      <c r="I76" s="7">
        <v>2.0773580074310303</v>
      </c>
      <c r="J76" s="7">
        <v>0.79118728637695312</v>
      </c>
      <c r="K76" s="8"/>
      <c r="L76" s="9"/>
      <c r="M76">
        <v>0</v>
      </c>
      <c r="N76">
        <v>0</v>
      </c>
      <c r="O76">
        <v>0</v>
      </c>
      <c r="P76" s="9" t="s">
        <v>123</v>
      </c>
    </row>
    <row r="77" spans="1:16" ht="22" thickBot="1" x14ac:dyDescent="0.3">
      <c r="A77" s="15" t="s">
        <v>93</v>
      </c>
      <c r="B77" s="10" t="s">
        <v>99</v>
      </c>
      <c r="C77" s="11">
        <v>0.86793243885040283</v>
      </c>
      <c r="D77" s="12">
        <v>3.6181025505065918</v>
      </c>
      <c r="E77" s="12">
        <v>7.4127683639526367</v>
      </c>
      <c r="F77" s="12">
        <v>0.7899516224861145</v>
      </c>
      <c r="G77" s="12">
        <v>2.8281509876251221</v>
      </c>
      <c r="H77" s="12">
        <v>3.7946658134460449</v>
      </c>
      <c r="I77" s="13">
        <v>2.048799991607666</v>
      </c>
      <c r="J77" s="13">
        <v>0.78166687488555908</v>
      </c>
      <c r="K77" s="14"/>
      <c r="L77" s="9"/>
      <c r="M77">
        <v>0</v>
      </c>
      <c r="N77">
        <v>0</v>
      </c>
      <c r="O77">
        <v>0</v>
      </c>
      <c r="P77" s="9" t="s">
        <v>123</v>
      </c>
    </row>
    <row r="78" spans="1:16" ht="19" customHeight="1" thickBot="1" x14ac:dyDescent="0.3">
      <c r="A78" s="15" t="s">
        <v>100</v>
      </c>
      <c r="B78" s="4" t="s">
        <v>101</v>
      </c>
      <c r="C78" s="5">
        <v>0.89636588096618652</v>
      </c>
      <c r="D78" s="6">
        <v>3.7151458263397217</v>
      </c>
      <c r="E78" s="6">
        <v>7.1016597747802734</v>
      </c>
      <c r="F78" s="6">
        <v>0.67970329523086548</v>
      </c>
      <c r="G78" s="6">
        <v>3.035442590713501</v>
      </c>
      <c r="H78" s="6">
        <v>3.3865139484405518</v>
      </c>
      <c r="I78" s="7">
        <v>1.9115426540374756</v>
      </c>
      <c r="J78" s="7">
        <v>0.81704533100128174</v>
      </c>
      <c r="K78" s="8"/>
      <c r="L78" s="9"/>
      <c r="M78">
        <v>1</v>
      </c>
      <c r="N78" s="18">
        <f>G78/AVERAGE(G$72:G$77)</f>
        <v>1.0462896243117552</v>
      </c>
      <c r="O78" s="18">
        <f>D78/AVERAGE(D$72:D$77)</f>
        <v>1.0359359264274097</v>
      </c>
      <c r="P78" s="9" t="s">
        <v>123</v>
      </c>
    </row>
    <row r="79" spans="1:16" ht="22" thickBot="1" x14ac:dyDescent="0.3">
      <c r="A79" s="15" t="s">
        <v>100</v>
      </c>
      <c r="B79" s="4" t="s">
        <v>102</v>
      </c>
      <c r="C79" s="5">
        <v>0.89512836933135986</v>
      </c>
      <c r="D79" s="6">
        <v>3.7379302978515625</v>
      </c>
      <c r="E79" s="6">
        <v>7.5610356330871582</v>
      </c>
      <c r="F79" s="6">
        <v>0.6005561351776123</v>
      </c>
      <c r="G79" s="6">
        <v>3.1373741626739502</v>
      </c>
      <c r="H79" s="6">
        <v>3.8231053352355957</v>
      </c>
      <c r="I79" s="7">
        <v>2.0227866172790527</v>
      </c>
      <c r="J79" s="7">
        <v>0.83933460712432861</v>
      </c>
      <c r="K79" s="8"/>
      <c r="L79" s="9"/>
      <c r="M79">
        <v>1</v>
      </c>
      <c r="N79" s="18">
        <f t="shared" ref="N79:N83" si="14">G79/AVERAGE(G$72:G$77)</f>
        <v>1.081424515829152</v>
      </c>
      <c r="O79" s="18">
        <f t="shared" ref="O79:O83" si="15">D79/AVERAGE(D$72:D$77)</f>
        <v>1.0422891770687264</v>
      </c>
      <c r="P79" s="9" t="s">
        <v>123</v>
      </c>
    </row>
    <row r="80" spans="1:16" ht="22" thickBot="1" x14ac:dyDescent="0.3">
      <c r="A80" s="15" t="s">
        <v>100</v>
      </c>
      <c r="B80" s="4" t="s">
        <v>103</v>
      </c>
      <c r="C80" s="5">
        <v>0.83194500207901001</v>
      </c>
      <c r="D80" s="6">
        <v>3.5734529495239258</v>
      </c>
      <c r="E80" s="6">
        <v>7.2014603614807129</v>
      </c>
      <c r="F80" s="6">
        <v>0.59905898571014404</v>
      </c>
      <c r="G80" s="6">
        <v>2.9743938446044922</v>
      </c>
      <c r="H80" s="6">
        <v>3.6280074119567871</v>
      </c>
      <c r="I80" s="7">
        <v>2.0152666568756104</v>
      </c>
      <c r="J80" s="7">
        <v>0.83235847949981689</v>
      </c>
      <c r="K80" s="8"/>
      <c r="L80" s="9"/>
      <c r="M80">
        <v>1</v>
      </c>
      <c r="N80" s="18">
        <f t="shared" si="14"/>
        <v>1.0252466733343544</v>
      </c>
      <c r="O80" s="18">
        <f t="shared" si="15"/>
        <v>0.99642610676658816</v>
      </c>
      <c r="P80" s="9" t="s">
        <v>123</v>
      </c>
    </row>
    <row r="81" spans="1:16" ht="22" thickBot="1" x14ac:dyDescent="0.3">
      <c r="A81" s="15" t="s">
        <v>100</v>
      </c>
      <c r="B81" s="4" t="s">
        <v>104</v>
      </c>
      <c r="C81" s="5">
        <v>0.83853042125701904</v>
      </c>
      <c r="D81" s="6">
        <v>3.3859767913818359</v>
      </c>
      <c r="E81" s="6">
        <v>6.8599724769592285</v>
      </c>
      <c r="F81" s="6">
        <v>0.44419220089912415</v>
      </c>
      <c r="G81" s="6">
        <v>2.9417846202850342</v>
      </c>
      <c r="H81" s="6">
        <v>3.4739956855773926</v>
      </c>
      <c r="I81" s="7">
        <v>2.0259950160980225</v>
      </c>
      <c r="J81" s="7">
        <v>0.86881417036056519</v>
      </c>
      <c r="K81" s="8"/>
      <c r="L81" s="9"/>
      <c r="M81">
        <v>1</v>
      </c>
      <c r="N81" s="18">
        <f t="shared" si="14"/>
        <v>1.0140065684591428</v>
      </c>
      <c r="O81" s="18">
        <f t="shared" si="15"/>
        <v>0.94415001946174004</v>
      </c>
      <c r="P81" s="9" t="s">
        <v>123</v>
      </c>
    </row>
    <row r="82" spans="1:16" ht="22" thickBot="1" x14ac:dyDescent="0.3">
      <c r="A82" s="15" t="s">
        <v>100</v>
      </c>
      <c r="B82" s="4" t="s">
        <v>105</v>
      </c>
      <c r="C82" s="5">
        <v>0.93325281143188477</v>
      </c>
      <c r="D82" s="6">
        <v>3.3888430595397949</v>
      </c>
      <c r="E82" s="6">
        <v>6.6178221702575684</v>
      </c>
      <c r="F82" s="6">
        <v>0.44867596030235291</v>
      </c>
      <c r="G82" s="6">
        <v>2.9401671886444092</v>
      </c>
      <c r="H82" s="6">
        <v>3.2289791107177734</v>
      </c>
      <c r="I82" s="7">
        <v>1.9528263807296753</v>
      </c>
      <c r="J82" s="7">
        <v>0.86760205030441284</v>
      </c>
      <c r="K82" s="8"/>
      <c r="L82" s="9"/>
      <c r="M82">
        <v>1</v>
      </c>
      <c r="N82" s="18">
        <f t="shared" si="14"/>
        <v>1.0134490543922332</v>
      </c>
      <c r="O82" s="18">
        <f t="shared" si="15"/>
        <v>0.94494925327338564</v>
      </c>
      <c r="P82" s="9" t="s">
        <v>123</v>
      </c>
    </row>
    <row r="83" spans="1:16" ht="22" thickBot="1" x14ac:dyDescent="0.3">
      <c r="A83" s="15" t="s">
        <v>100</v>
      </c>
      <c r="B83" s="10" t="s">
        <v>106</v>
      </c>
      <c r="C83" s="11">
        <v>0.8898586630821228</v>
      </c>
      <c r="D83" s="12">
        <v>3.2099063396453857</v>
      </c>
      <c r="E83" s="12">
        <v>6.5502967834472656</v>
      </c>
      <c r="F83" s="12">
        <v>0.51815378665924072</v>
      </c>
      <c r="G83" s="12">
        <v>2.6917524337768555</v>
      </c>
      <c r="H83" s="12">
        <v>3.3403904438018799</v>
      </c>
      <c r="I83" s="13">
        <v>2.0406503677368164</v>
      </c>
      <c r="J83" s="13">
        <v>0.83857661485671997</v>
      </c>
      <c r="K83" s="14"/>
      <c r="L83" s="9"/>
      <c r="M83">
        <v>1</v>
      </c>
      <c r="N83" s="18">
        <f t="shared" si="14"/>
        <v>0.9278227337564755</v>
      </c>
      <c r="O83" s="18">
        <f t="shared" si="15"/>
        <v>0.89505431365042976</v>
      </c>
      <c r="P83" s="9" t="s">
        <v>123</v>
      </c>
    </row>
    <row r="84" spans="1:16" ht="19" customHeight="1" thickBot="1" x14ac:dyDescent="0.3">
      <c r="A84" s="15" t="s">
        <v>107</v>
      </c>
      <c r="B84" s="4" t="s">
        <v>108</v>
      </c>
      <c r="C84" s="5">
        <v>0.78221434354782104</v>
      </c>
      <c r="D84" s="6">
        <v>3.2522683143615723</v>
      </c>
      <c r="E84" s="6">
        <v>5.932520866394043</v>
      </c>
      <c r="F84" s="6">
        <v>0.50361722707748413</v>
      </c>
      <c r="G84" s="6">
        <v>2.7486510276794434</v>
      </c>
      <c r="H84" s="6">
        <v>2.6802525520324707</v>
      </c>
      <c r="I84" s="7">
        <v>1.82411789894104</v>
      </c>
      <c r="J84" s="7">
        <v>0.84514892101287842</v>
      </c>
      <c r="K84" s="8"/>
      <c r="L84" s="9"/>
      <c r="M84">
        <v>0</v>
      </c>
      <c r="N84">
        <v>0</v>
      </c>
      <c r="O84">
        <v>0</v>
      </c>
      <c r="P84" s="9" t="s">
        <v>124</v>
      </c>
    </row>
    <row r="85" spans="1:16" ht="22" thickBot="1" x14ac:dyDescent="0.3">
      <c r="A85" s="15" t="s">
        <v>107</v>
      </c>
      <c r="B85" s="4" t="s">
        <v>109</v>
      </c>
      <c r="C85" s="5">
        <v>0.78355658054351807</v>
      </c>
      <c r="D85" s="6">
        <v>3.3824996948242188</v>
      </c>
      <c r="E85" s="6">
        <v>6.0943927764892578</v>
      </c>
      <c r="F85" s="6">
        <v>0.54777848720550537</v>
      </c>
      <c r="G85" s="6">
        <v>2.8347210884094238</v>
      </c>
      <c r="H85" s="6">
        <v>2.7118930816650391</v>
      </c>
      <c r="I85" s="7">
        <v>1.8017423152923584</v>
      </c>
      <c r="J85" s="7">
        <v>0.8380550742149353</v>
      </c>
      <c r="K85" s="8"/>
      <c r="L85" s="9"/>
      <c r="M85">
        <v>0</v>
      </c>
      <c r="N85">
        <v>0</v>
      </c>
      <c r="O85">
        <v>0</v>
      </c>
      <c r="P85" s="9" t="s">
        <v>124</v>
      </c>
    </row>
    <row r="86" spans="1:16" ht="22" thickBot="1" x14ac:dyDescent="0.3">
      <c r="A86" s="15" t="s">
        <v>107</v>
      </c>
      <c r="B86" s="4" t="s">
        <v>110</v>
      </c>
      <c r="C86" s="5">
        <v>0.89272552728652954</v>
      </c>
      <c r="D86" s="6">
        <v>3.5824058055877686</v>
      </c>
      <c r="E86" s="6">
        <v>6.2031116485595703</v>
      </c>
      <c r="F86" s="6">
        <v>0.5246087908744812</v>
      </c>
      <c r="G86" s="6">
        <v>3.0577969551086426</v>
      </c>
      <c r="H86" s="6">
        <v>2.6207058429718018</v>
      </c>
      <c r="I86" s="7">
        <v>1.7315491437911987</v>
      </c>
      <c r="J86" s="7">
        <v>0.85355961322784424</v>
      </c>
      <c r="K86" s="8"/>
      <c r="L86" s="9"/>
      <c r="M86">
        <v>0</v>
      </c>
      <c r="N86">
        <v>0</v>
      </c>
      <c r="O86">
        <v>0</v>
      </c>
      <c r="P86" s="9" t="s">
        <v>124</v>
      </c>
    </row>
    <row r="87" spans="1:16" ht="22" thickBot="1" x14ac:dyDescent="0.3">
      <c r="A87" s="15" t="s">
        <v>107</v>
      </c>
      <c r="B87" s="4" t="s">
        <v>111</v>
      </c>
      <c r="C87" s="5">
        <v>0.88022565841674805</v>
      </c>
      <c r="D87" s="6">
        <v>3.7216665744781494</v>
      </c>
      <c r="E87" s="6">
        <v>6.4259591102600098</v>
      </c>
      <c r="F87" s="6">
        <v>0.62140345573425293</v>
      </c>
      <c r="G87" s="6">
        <v>3.1002631187438965</v>
      </c>
      <c r="H87" s="6">
        <v>2.7042925357818604</v>
      </c>
      <c r="I87" s="7">
        <v>1.7266348600387573</v>
      </c>
      <c r="J87" s="7">
        <v>0.83303087949752808</v>
      </c>
      <c r="K87" s="8"/>
      <c r="L87" s="9"/>
      <c r="M87">
        <v>0</v>
      </c>
      <c r="N87">
        <v>0</v>
      </c>
      <c r="O87">
        <v>0</v>
      </c>
      <c r="P87" s="9" t="s">
        <v>124</v>
      </c>
    </row>
    <row r="88" spans="1:16" ht="22" thickBot="1" x14ac:dyDescent="0.3">
      <c r="A88" s="15" t="s">
        <v>107</v>
      </c>
      <c r="B88" s="10" t="s">
        <v>112</v>
      </c>
      <c r="C88" s="11">
        <v>0.93351107835769653</v>
      </c>
      <c r="D88" s="12">
        <v>3.5529985427856445</v>
      </c>
      <c r="E88" s="12">
        <v>6.483001708984375</v>
      </c>
      <c r="F88" s="12">
        <v>0.47874948382377625</v>
      </c>
      <c r="G88" s="12">
        <v>3.0742490291595459</v>
      </c>
      <c r="H88" s="12">
        <v>2.9300031661987305</v>
      </c>
      <c r="I88" s="13">
        <v>1.8246564865112305</v>
      </c>
      <c r="J88" s="13">
        <v>0.86525481939315796</v>
      </c>
      <c r="K88" s="14"/>
      <c r="L88" s="9"/>
      <c r="M88">
        <v>0</v>
      </c>
      <c r="N88">
        <v>0</v>
      </c>
      <c r="O88">
        <v>0</v>
      </c>
      <c r="P88" s="9" t="s">
        <v>124</v>
      </c>
    </row>
    <row r="89" spans="1:16" ht="19" customHeight="1" thickBot="1" x14ac:dyDescent="0.3">
      <c r="A89" s="15" t="s">
        <v>113</v>
      </c>
      <c r="B89" s="4" t="s">
        <v>114</v>
      </c>
      <c r="C89" s="5">
        <v>1.0261708498001099</v>
      </c>
      <c r="D89" s="6">
        <v>3.6160030364990234</v>
      </c>
      <c r="E89" s="6">
        <v>6.6927480697631836</v>
      </c>
      <c r="F89" s="6">
        <v>0.60388177633285522</v>
      </c>
      <c r="G89" s="6">
        <v>3.0121212005615234</v>
      </c>
      <c r="H89" s="6">
        <v>3.0767450332641602</v>
      </c>
      <c r="I89" s="7">
        <v>1.8508690595626831</v>
      </c>
      <c r="J89" s="7">
        <v>0.83299744129180908</v>
      </c>
      <c r="K89" s="8"/>
      <c r="L89" s="9"/>
      <c r="M89">
        <v>1</v>
      </c>
      <c r="N89" s="18">
        <f>G89/AVERAGE(G$84:G$88)</f>
        <v>1.0165314561028014</v>
      </c>
      <c r="O89" s="18">
        <f>D89/AVERAGE(D$84:D$88)</f>
        <v>1.0336257527149122</v>
      </c>
      <c r="P89" s="9" t="s">
        <v>124</v>
      </c>
    </row>
    <row r="90" spans="1:16" ht="22" thickBot="1" x14ac:dyDescent="0.3">
      <c r="A90" s="15" t="s">
        <v>113</v>
      </c>
      <c r="B90" s="4" t="s">
        <v>115</v>
      </c>
      <c r="C90" s="5">
        <v>0.94655311107635498</v>
      </c>
      <c r="D90" s="6">
        <v>3.0825529098510742</v>
      </c>
      <c r="E90" s="6">
        <v>5.8906745910644531</v>
      </c>
      <c r="F90" s="6">
        <v>0.58698290586471558</v>
      </c>
      <c r="G90" s="6">
        <v>2.4955699443817139</v>
      </c>
      <c r="H90" s="6">
        <v>2.8081216812133789</v>
      </c>
      <c r="I90" s="7">
        <v>1.9109727144241333</v>
      </c>
      <c r="J90" s="7">
        <v>0.80957895517349243</v>
      </c>
      <c r="K90" s="8"/>
      <c r="L90" s="9"/>
      <c r="M90">
        <v>1</v>
      </c>
      <c r="N90" s="18">
        <f t="shared" ref="N90:N92" si="16">G90/AVERAGE(G$84:G$88)</f>
        <v>0.84220560211714335</v>
      </c>
      <c r="O90" s="18">
        <f t="shared" ref="O90:O92" si="17">D90/AVERAGE(D$84:D$88)</f>
        <v>0.88114031973081841</v>
      </c>
      <c r="P90" s="9" t="s">
        <v>124</v>
      </c>
    </row>
    <row r="91" spans="1:16" ht="22" thickBot="1" x14ac:dyDescent="0.3">
      <c r="A91" s="15" t="s">
        <v>113</v>
      </c>
      <c r="B91" s="4" t="s">
        <v>116</v>
      </c>
      <c r="C91" s="5">
        <v>0.93454623222351074</v>
      </c>
      <c r="D91" s="6">
        <v>3.1018030643463135</v>
      </c>
      <c r="E91" s="6">
        <v>5.9444899559020996</v>
      </c>
      <c r="F91" s="6">
        <v>0.50627720355987549</v>
      </c>
      <c r="G91" s="6">
        <v>2.5955257415771484</v>
      </c>
      <c r="H91" s="6">
        <v>2.8426868915557861</v>
      </c>
      <c r="I91" s="7">
        <v>1.916462779045105</v>
      </c>
      <c r="J91" s="7">
        <v>0.83677965402603149</v>
      </c>
      <c r="K91" s="8"/>
      <c r="L91" s="9"/>
      <c r="M91">
        <v>1</v>
      </c>
      <c r="N91" s="18">
        <f t="shared" si="16"/>
        <v>0.87593871088117636</v>
      </c>
      <c r="O91" s="18">
        <f t="shared" si="17"/>
        <v>0.88664292999667826</v>
      </c>
      <c r="P91" s="9" t="s">
        <v>124</v>
      </c>
    </row>
    <row r="92" spans="1:16" ht="22" thickBot="1" x14ac:dyDescent="0.3">
      <c r="A92" s="15" t="s">
        <v>113</v>
      </c>
      <c r="B92" s="4" t="s">
        <v>117</v>
      </c>
      <c r="C92" s="5">
        <v>0.99657487869262695</v>
      </c>
      <c r="D92" s="6">
        <v>3.3388638496398926</v>
      </c>
      <c r="E92" s="6">
        <v>6.1815576553344727</v>
      </c>
      <c r="F92" s="6">
        <v>0.50100094079971313</v>
      </c>
      <c r="G92" s="6">
        <v>2.8378629684448242</v>
      </c>
      <c r="H92" s="6">
        <v>2.8426938056945801</v>
      </c>
      <c r="I92" s="7">
        <v>1.8513954877853394</v>
      </c>
      <c r="J92" s="7">
        <v>0.8499487042427063</v>
      </c>
      <c r="K92" s="8"/>
      <c r="L92" s="9"/>
      <c r="M92">
        <v>1</v>
      </c>
      <c r="N92" s="18">
        <f t="shared" si="16"/>
        <v>0.95772274203164587</v>
      </c>
      <c r="O92" s="18">
        <f t="shared" si="17"/>
        <v>0.95440618411039757</v>
      </c>
      <c r="P92" s="9" t="s">
        <v>124</v>
      </c>
    </row>
    <row r="93" spans="1:16" ht="22" thickBot="1" x14ac:dyDescent="0.3">
      <c r="A93" s="15" t="s">
        <v>113</v>
      </c>
      <c r="B93" s="10" t="s">
        <v>118</v>
      </c>
      <c r="C93" s="11">
        <v>0.95241910219192505</v>
      </c>
      <c r="D93" s="12">
        <v>3.312410831451416</v>
      </c>
      <c r="E93" s="12">
        <v>6.2146625518798828</v>
      </c>
      <c r="F93" s="12">
        <v>0.72532916069030762</v>
      </c>
      <c r="G93" s="12">
        <v>2.5870816707611084</v>
      </c>
      <c r="H93" s="12">
        <v>2.9022517204284668</v>
      </c>
      <c r="I93" s="13">
        <v>1.8761750459671021</v>
      </c>
      <c r="J93" s="13">
        <v>0.78102684020996094</v>
      </c>
      <c r="K93" s="14"/>
      <c r="L93" s="9"/>
      <c r="M93">
        <v>1</v>
      </c>
      <c r="N93" s="18">
        <f>G93/AVERAGE(G$84:G$88)</f>
        <v>0.87308900363816622</v>
      </c>
      <c r="O93" s="18">
        <f>D93/AVERAGE(D$84:D$88)</f>
        <v>0.94684465261812367</v>
      </c>
      <c r="P93" s="9" t="s">
        <v>124</v>
      </c>
    </row>
    <row r="94" spans="1:16" ht="19" x14ac:dyDescent="0.25">
      <c r="L94" s="9"/>
      <c r="P94" s="9"/>
    </row>
    <row r="95" spans="1:16" ht="19" x14ac:dyDescent="0.25">
      <c r="L95" s="9"/>
      <c r="P95" s="9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2026-07-24T19:55:44Z</dcterms:created>
  <dcterms:modified xsi:type="dcterms:W3CDTF">2026-09-09T18:46:16Z</dcterms:modified>
</cp:coreProperties>
</file>