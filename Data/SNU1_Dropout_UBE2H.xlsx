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chukken_SSD/CRISPR SCREEN PAPER/R Code Data Files/Data/"/>
    </mc:Choice>
  </mc:AlternateContent>
  <xr:revisionPtr revIDLastSave="0" documentId="13_ncr:1_{62A76153-8935-AF41-B517-A6C8693719B5}" xr6:coauthVersionLast="47" xr6:coauthVersionMax="47" xr10:uidLastSave="{00000000-0000-0000-0000-000000000000}"/>
  <bookViews>
    <workbookView xWindow="6360" yWindow="640" windowWidth="27240" windowHeight="16440" xr2:uid="{01F6DA33-AFE8-BA41-9809-C0264874612F}"/>
  </bookViews>
  <sheets>
    <sheet name="Overview" sheetId="11" r:id="rId1"/>
    <sheet name="SNU1 c12" sheetId="7" r:id="rId2"/>
    <sheet name="SNU1 c13" sheetId="8" r:id="rId3"/>
    <sheet name="SNU1 c24" sheetId="9" r:id="rId4"/>
    <sheet name="SNU1 c114" sheetId="10" r:id="rId5"/>
  </sheets>
  <externalReferences>
    <externalReference r:id="rId6"/>
    <externalReference r:id="rId7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1" l="1"/>
  <c r="P44" i="7"/>
  <c r="Q27" i="9" l="1"/>
  <c r="P27" i="9"/>
  <c r="O27" i="9"/>
  <c r="N27" i="9"/>
  <c r="M27" i="9"/>
  <c r="L27" i="9"/>
  <c r="Q26" i="9"/>
  <c r="P26" i="9"/>
  <c r="O26" i="9"/>
  <c r="N26" i="9"/>
  <c r="M26" i="9"/>
  <c r="L26" i="9"/>
  <c r="Q25" i="9"/>
  <c r="P25" i="9"/>
  <c r="O25" i="9"/>
  <c r="N25" i="9"/>
  <c r="M25" i="9"/>
  <c r="L25" i="9"/>
  <c r="Q24" i="9"/>
  <c r="P24" i="9"/>
  <c r="O24" i="9"/>
  <c r="N24" i="9"/>
  <c r="M24" i="9"/>
  <c r="L24" i="9"/>
  <c r="Q23" i="9"/>
  <c r="P23" i="9"/>
  <c r="O23" i="9"/>
  <c r="N23" i="9"/>
  <c r="M23" i="9"/>
  <c r="L23" i="9"/>
  <c r="Q22" i="9"/>
  <c r="P22" i="9"/>
  <c r="O22" i="9"/>
  <c r="N22" i="9"/>
  <c r="M22" i="9"/>
  <c r="L22" i="9"/>
  <c r="Q21" i="9"/>
  <c r="P21" i="9"/>
  <c r="O21" i="9"/>
  <c r="N21" i="9"/>
  <c r="M21" i="9"/>
  <c r="L21" i="9"/>
  <c r="Q20" i="9"/>
  <c r="Q33" i="9" s="1"/>
  <c r="P20" i="9"/>
  <c r="P33" i="9" s="1"/>
  <c r="O20" i="9"/>
  <c r="O33" i="9" s="1"/>
  <c r="N20" i="9"/>
  <c r="N33" i="9" s="1"/>
  <c r="M20" i="9"/>
  <c r="M33" i="9" s="1"/>
  <c r="L20" i="9"/>
  <c r="L33" i="9" s="1"/>
  <c r="Q19" i="9"/>
  <c r="P19" i="9"/>
  <c r="O19" i="9"/>
  <c r="O43" i="9" s="1"/>
  <c r="N19" i="9"/>
  <c r="M19" i="9"/>
  <c r="L19" i="9"/>
  <c r="Q18" i="9"/>
  <c r="P18" i="9"/>
  <c r="O18" i="9"/>
  <c r="N18" i="9"/>
  <c r="M18" i="9"/>
  <c r="L18" i="9"/>
  <c r="Q17" i="9"/>
  <c r="P17" i="9"/>
  <c r="O17" i="9"/>
  <c r="O41" i="9" s="1"/>
  <c r="N17" i="9"/>
  <c r="M17" i="9"/>
  <c r="L17" i="9"/>
  <c r="Q16" i="9"/>
  <c r="P16" i="9"/>
  <c r="P35" i="9" s="1"/>
  <c r="O16" i="9"/>
  <c r="O35" i="9" s="1"/>
  <c r="N16" i="9"/>
  <c r="N35" i="9" s="1"/>
  <c r="M16" i="9"/>
  <c r="M35" i="9" s="1"/>
  <c r="L16" i="9"/>
  <c r="L35" i="9" s="1"/>
  <c r="Q15" i="9"/>
  <c r="P15" i="9"/>
  <c r="O15" i="9"/>
  <c r="N15" i="9"/>
  <c r="M15" i="9"/>
  <c r="L15" i="9"/>
  <c r="Q14" i="9"/>
  <c r="P14" i="9"/>
  <c r="O14" i="9"/>
  <c r="N14" i="9"/>
  <c r="M14" i="9"/>
  <c r="L14" i="9"/>
  <c r="Q13" i="9"/>
  <c r="P13" i="9"/>
  <c r="O13" i="9"/>
  <c r="N13" i="9"/>
  <c r="N34" i="9" s="1"/>
  <c r="M13" i="9"/>
  <c r="L13" i="9"/>
  <c r="Q12" i="9"/>
  <c r="Q34" i="9" s="1"/>
  <c r="P12" i="9"/>
  <c r="P34" i="9" s="1"/>
  <c r="O12" i="9"/>
  <c r="O34" i="9" s="1"/>
  <c r="N12" i="9"/>
  <c r="M12" i="9"/>
  <c r="M34" i="9" s="1"/>
  <c r="L12" i="9"/>
  <c r="L34" i="9" s="1"/>
  <c r="Q10" i="9"/>
  <c r="P10" i="9"/>
  <c r="O10" i="9"/>
  <c r="N10" i="9"/>
  <c r="M10" i="9"/>
  <c r="H10" i="9"/>
  <c r="G10" i="9"/>
  <c r="F10" i="9"/>
  <c r="E10" i="9"/>
  <c r="D10" i="9"/>
  <c r="Q27" i="10"/>
  <c r="P27" i="10"/>
  <c r="O27" i="10"/>
  <c r="N27" i="10"/>
  <c r="M27" i="10"/>
  <c r="L27" i="10"/>
  <c r="Q26" i="10"/>
  <c r="P26" i="10"/>
  <c r="O26" i="10"/>
  <c r="N26" i="10"/>
  <c r="M26" i="10"/>
  <c r="L26" i="10"/>
  <c r="Q25" i="10"/>
  <c r="P25" i="10"/>
  <c r="O25" i="10"/>
  <c r="N25" i="10"/>
  <c r="M25" i="10"/>
  <c r="L25" i="10"/>
  <c r="Q24" i="10"/>
  <c r="P24" i="10"/>
  <c r="O24" i="10"/>
  <c r="N24" i="10"/>
  <c r="M24" i="10"/>
  <c r="L24" i="10"/>
  <c r="Q23" i="10"/>
  <c r="P23" i="10"/>
  <c r="O23" i="10"/>
  <c r="N23" i="10"/>
  <c r="M23" i="10"/>
  <c r="L23" i="10"/>
  <c r="Q22" i="10"/>
  <c r="P22" i="10"/>
  <c r="O22" i="10"/>
  <c r="N22" i="10"/>
  <c r="M22" i="10"/>
  <c r="L22" i="10"/>
  <c r="Q21" i="10"/>
  <c r="P21" i="10"/>
  <c r="O21" i="10"/>
  <c r="N21" i="10"/>
  <c r="M21" i="10"/>
  <c r="L21" i="10"/>
  <c r="Q20" i="10"/>
  <c r="Q33" i="10" s="1"/>
  <c r="P20" i="10"/>
  <c r="P33" i="10" s="1"/>
  <c r="O20" i="10"/>
  <c r="O33" i="10" s="1"/>
  <c r="N20" i="10"/>
  <c r="N33" i="10" s="1"/>
  <c r="M20" i="10"/>
  <c r="M33" i="10" s="1"/>
  <c r="L20" i="10"/>
  <c r="L33" i="10" s="1"/>
  <c r="Q19" i="10"/>
  <c r="P19" i="10"/>
  <c r="O19" i="10"/>
  <c r="O43" i="10" s="1"/>
  <c r="N19" i="10"/>
  <c r="M19" i="10"/>
  <c r="L19" i="10"/>
  <c r="Q18" i="10"/>
  <c r="P18" i="10"/>
  <c r="O18" i="10"/>
  <c r="N18" i="10"/>
  <c r="M18" i="10"/>
  <c r="L18" i="10"/>
  <c r="Q17" i="10"/>
  <c r="P17" i="10"/>
  <c r="O17" i="10"/>
  <c r="O41" i="10" s="1"/>
  <c r="N17" i="10"/>
  <c r="M17" i="10"/>
  <c r="L17" i="10"/>
  <c r="Q16" i="10"/>
  <c r="P16" i="10"/>
  <c r="O16" i="10"/>
  <c r="O35" i="10" s="1"/>
  <c r="N16" i="10"/>
  <c r="N35" i="10" s="1"/>
  <c r="M16" i="10"/>
  <c r="M35" i="10" s="1"/>
  <c r="L16" i="10"/>
  <c r="L35" i="10" s="1"/>
  <c r="Q15" i="10"/>
  <c r="P15" i="10"/>
  <c r="O15" i="10"/>
  <c r="N15" i="10"/>
  <c r="M15" i="10"/>
  <c r="L15" i="10"/>
  <c r="Q14" i="10"/>
  <c r="P14" i="10"/>
  <c r="O14" i="10"/>
  <c r="N14" i="10"/>
  <c r="M14" i="10"/>
  <c r="L14" i="10"/>
  <c r="Q13" i="10"/>
  <c r="P13" i="10"/>
  <c r="O13" i="10"/>
  <c r="N13" i="10"/>
  <c r="M13" i="10"/>
  <c r="L13" i="10"/>
  <c r="Q12" i="10"/>
  <c r="Q34" i="10" s="1"/>
  <c r="Q38" i="10" s="1"/>
  <c r="P12" i="10"/>
  <c r="P34" i="10" s="1"/>
  <c r="P38" i="10" s="1"/>
  <c r="O12" i="10"/>
  <c r="O34" i="10" s="1"/>
  <c r="O38" i="10" s="1"/>
  <c r="N12" i="10"/>
  <c r="N34" i="10" s="1"/>
  <c r="M12" i="10"/>
  <c r="M34" i="10" s="1"/>
  <c r="L12" i="10"/>
  <c r="L34" i="10" s="1"/>
  <c r="Q10" i="10"/>
  <c r="P10" i="10"/>
  <c r="O10" i="10"/>
  <c r="N10" i="10"/>
  <c r="M10" i="10"/>
  <c r="H10" i="10"/>
  <c r="G10" i="10"/>
  <c r="F10" i="10"/>
  <c r="E10" i="10"/>
  <c r="D10" i="10"/>
  <c r="Q27" i="8"/>
  <c r="P27" i="8"/>
  <c r="O27" i="8"/>
  <c r="N27" i="8"/>
  <c r="M27" i="8"/>
  <c r="L27" i="8"/>
  <c r="Q26" i="8"/>
  <c r="P26" i="8"/>
  <c r="O26" i="8"/>
  <c r="N26" i="8"/>
  <c r="M26" i="8"/>
  <c r="L26" i="8"/>
  <c r="Q25" i="8"/>
  <c r="P25" i="8"/>
  <c r="O25" i="8"/>
  <c r="N25" i="8"/>
  <c r="M25" i="8"/>
  <c r="L25" i="8"/>
  <c r="Q24" i="8"/>
  <c r="P24" i="8"/>
  <c r="O24" i="8"/>
  <c r="N24" i="8"/>
  <c r="M24" i="8"/>
  <c r="L24" i="8"/>
  <c r="Q23" i="8"/>
  <c r="P23" i="8"/>
  <c r="O23" i="8"/>
  <c r="N23" i="8"/>
  <c r="M23" i="8"/>
  <c r="L23" i="8"/>
  <c r="Q22" i="8"/>
  <c r="P22" i="8"/>
  <c r="O22" i="8"/>
  <c r="N22" i="8"/>
  <c r="M22" i="8"/>
  <c r="L22" i="8"/>
  <c r="Q21" i="8"/>
  <c r="P21" i="8"/>
  <c r="O21" i="8"/>
  <c r="N21" i="8"/>
  <c r="M21" i="8"/>
  <c r="L21" i="8"/>
  <c r="Q20" i="8"/>
  <c r="Q33" i="8" s="1"/>
  <c r="P20" i="8"/>
  <c r="P33" i="8" s="1"/>
  <c r="O20" i="8"/>
  <c r="O33" i="8" s="1"/>
  <c r="N20" i="8"/>
  <c r="N33" i="8" s="1"/>
  <c r="M20" i="8"/>
  <c r="M33" i="8" s="1"/>
  <c r="L20" i="8"/>
  <c r="L33" i="8" s="1"/>
  <c r="Q19" i="8"/>
  <c r="P19" i="8"/>
  <c r="O19" i="8"/>
  <c r="N19" i="8"/>
  <c r="M19" i="8"/>
  <c r="L19" i="8"/>
  <c r="Q18" i="8"/>
  <c r="P18" i="8"/>
  <c r="O18" i="8"/>
  <c r="N18" i="8"/>
  <c r="M18" i="8"/>
  <c r="L18" i="8"/>
  <c r="Q17" i="8"/>
  <c r="P17" i="8"/>
  <c r="O17" i="8"/>
  <c r="N17" i="8"/>
  <c r="M17" i="8"/>
  <c r="L17" i="8"/>
  <c r="Q16" i="8"/>
  <c r="Q35" i="8" s="1"/>
  <c r="P16" i="8"/>
  <c r="O16" i="8"/>
  <c r="O35" i="8" s="1"/>
  <c r="N16" i="8"/>
  <c r="N35" i="8" s="1"/>
  <c r="M16" i="8"/>
  <c r="M35" i="8" s="1"/>
  <c r="L16" i="8"/>
  <c r="L35" i="8" s="1"/>
  <c r="Q15" i="8"/>
  <c r="P15" i="8"/>
  <c r="O15" i="8"/>
  <c r="N15" i="8"/>
  <c r="M15" i="8"/>
  <c r="L15" i="8"/>
  <c r="Q14" i="8"/>
  <c r="P14" i="8"/>
  <c r="O14" i="8"/>
  <c r="N14" i="8"/>
  <c r="M14" i="8"/>
  <c r="L14" i="8"/>
  <c r="Q13" i="8"/>
  <c r="P13" i="8"/>
  <c r="O13" i="8"/>
  <c r="O34" i="8" s="1"/>
  <c r="N13" i="8"/>
  <c r="N34" i="8" s="1"/>
  <c r="M13" i="8"/>
  <c r="L13" i="8"/>
  <c r="Q12" i="8"/>
  <c r="Q34" i="8" s="1"/>
  <c r="P12" i="8"/>
  <c r="P34" i="8" s="1"/>
  <c r="O12" i="8"/>
  <c r="N12" i="8"/>
  <c r="M12" i="8"/>
  <c r="M34" i="8" s="1"/>
  <c r="L12" i="8"/>
  <c r="L34" i="8" s="1"/>
  <c r="Q10" i="8"/>
  <c r="P10" i="8"/>
  <c r="O10" i="8"/>
  <c r="N10" i="8"/>
  <c r="M10" i="8"/>
  <c r="H10" i="8"/>
  <c r="G10" i="8"/>
  <c r="F10" i="8"/>
  <c r="E10" i="8"/>
  <c r="D10" i="8"/>
  <c r="Q32" i="7"/>
  <c r="P32" i="7"/>
  <c r="O32" i="7"/>
  <c r="N32" i="7"/>
  <c r="M32" i="7"/>
  <c r="L32" i="7"/>
  <c r="Q31" i="7"/>
  <c r="P31" i="7"/>
  <c r="O31" i="7"/>
  <c r="N31" i="7"/>
  <c r="M31" i="7"/>
  <c r="L31" i="7"/>
  <c r="Q30" i="7"/>
  <c r="P30" i="7"/>
  <c r="O30" i="7"/>
  <c r="N30" i="7"/>
  <c r="M30" i="7"/>
  <c r="L30" i="7"/>
  <c r="Q29" i="7"/>
  <c r="P29" i="7"/>
  <c r="O29" i="7"/>
  <c r="N29" i="7"/>
  <c r="M29" i="7"/>
  <c r="L29" i="7"/>
  <c r="Q28" i="7"/>
  <c r="P28" i="7"/>
  <c r="O28" i="7"/>
  <c r="N28" i="7"/>
  <c r="M28" i="7"/>
  <c r="L28" i="7"/>
  <c r="Q27" i="7"/>
  <c r="P27" i="7"/>
  <c r="O27" i="7"/>
  <c r="N27" i="7"/>
  <c r="M27" i="7"/>
  <c r="L27" i="7"/>
  <c r="Q26" i="7"/>
  <c r="P26" i="7"/>
  <c r="O26" i="7"/>
  <c r="N26" i="7"/>
  <c r="M26" i="7"/>
  <c r="L26" i="7"/>
  <c r="Q25" i="7"/>
  <c r="Q38" i="7" s="1"/>
  <c r="P25" i="7"/>
  <c r="P38" i="7" s="1"/>
  <c r="O25" i="7"/>
  <c r="O38" i="7" s="1"/>
  <c r="N25" i="7"/>
  <c r="N38" i="7" s="1"/>
  <c r="M25" i="7"/>
  <c r="M38" i="7" s="1"/>
  <c r="L25" i="7"/>
  <c r="L38" i="7" s="1"/>
  <c r="Q24" i="7"/>
  <c r="P24" i="7"/>
  <c r="O24" i="7"/>
  <c r="N24" i="7"/>
  <c r="M24" i="7"/>
  <c r="L24" i="7"/>
  <c r="Q23" i="7"/>
  <c r="P23" i="7"/>
  <c r="O23" i="7"/>
  <c r="N23" i="7"/>
  <c r="M23" i="7"/>
  <c r="L23" i="7"/>
  <c r="Q22" i="7"/>
  <c r="P22" i="7"/>
  <c r="O22" i="7"/>
  <c r="N22" i="7"/>
  <c r="M22" i="7"/>
  <c r="L22" i="7"/>
  <c r="Q21" i="7"/>
  <c r="Q52" i="7" s="1"/>
  <c r="P21" i="7"/>
  <c r="P52" i="7" s="1"/>
  <c r="O21" i="7"/>
  <c r="N21" i="7"/>
  <c r="M21" i="7"/>
  <c r="L21" i="7"/>
  <c r="L40" i="7" s="1"/>
  <c r="Q20" i="7"/>
  <c r="P20" i="7"/>
  <c r="O20" i="7"/>
  <c r="O40" i="7" s="1"/>
  <c r="N20" i="7"/>
  <c r="N40" i="7" s="1"/>
  <c r="M20" i="7"/>
  <c r="M40" i="7" s="1"/>
  <c r="L20" i="7"/>
  <c r="Q19" i="7"/>
  <c r="P19" i="7"/>
  <c r="P50" i="7" s="1"/>
  <c r="O19" i="7"/>
  <c r="N19" i="7"/>
  <c r="M19" i="7"/>
  <c r="L19" i="7"/>
  <c r="Q18" i="7"/>
  <c r="P18" i="7"/>
  <c r="O18" i="7"/>
  <c r="N18" i="7"/>
  <c r="M18" i="7"/>
  <c r="L18" i="7"/>
  <c r="Q17" i="7"/>
  <c r="Q48" i="7" s="1"/>
  <c r="P17" i="7"/>
  <c r="P48" i="7" s="1"/>
  <c r="O17" i="7"/>
  <c r="N17" i="7"/>
  <c r="M17" i="7"/>
  <c r="L17" i="7"/>
  <c r="Q16" i="7"/>
  <c r="P16" i="7"/>
  <c r="O16" i="7"/>
  <c r="N16" i="7"/>
  <c r="N41" i="7" s="1"/>
  <c r="M16" i="7"/>
  <c r="M41" i="7" s="1"/>
  <c r="L16" i="7"/>
  <c r="L41" i="7" s="1"/>
  <c r="Q15" i="7"/>
  <c r="P15" i="7"/>
  <c r="O15" i="7"/>
  <c r="N15" i="7"/>
  <c r="M15" i="7"/>
  <c r="L15" i="7"/>
  <c r="Q14" i="7"/>
  <c r="P14" i="7"/>
  <c r="O14" i="7"/>
  <c r="N14" i="7"/>
  <c r="M14" i="7"/>
  <c r="L14" i="7"/>
  <c r="Q13" i="7"/>
  <c r="P13" i="7"/>
  <c r="O13" i="7"/>
  <c r="N13" i="7"/>
  <c r="M13" i="7"/>
  <c r="L13" i="7"/>
  <c r="Q12" i="7"/>
  <c r="Q39" i="7" s="1"/>
  <c r="P12" i="7"/>
  <c r="P39" i="7" s="1"/>
  <c r="O12" i="7"/>
  <c r="O39" i="7" s="1"/>
  <c r="N12" i="7"/>
  <c r="N39" i="7" s="1"/>
  <c r="M12" i="7"/>
  <c r="M39" i="7" s="1"/>
  <c r="L12" i="7"/>
  <c r="L39" i="7" s="1"/>
  <c r="Q10" i="7"/>
  <c r="P10" i="7"/>
  <c r="O10" i="7"/>
  <c r="N10" i="7"/>
  <c r="M10" i="7"/>
  <c r="H10" i="7"/>
  <c r="G10" i="7"/>
  <c r="F10" i="7"/>
  <c r="E10" i="7"/>
  <c r="D10" i="7"/>
  <c r="P41" i="9" l="1"/>
  <c r="P38" i="9"/>
  <c r="P37" i="9"/>
  <c r="P42" i="9"/>
  <c r="Q38" i="9"/>
  <c r="Q42" i="9"/>
  <c r="Q40" i="9"/>
  <c r="P43" i="9"/>
  <c r="O40" i="9"/>
  <c r="O38" i="9"/>
  <c r="O37" i="9"/>
  <c r="Q41" i="9"/>
  <c r="O42" i="9"/>
  <c r="Q43" i="9"/>
  <c r="Q35" i="9"/>
  <c r="Q37" i="9" s="1"/>
  <c r="P40" i="9"/>
  <c r="Q40" i="10"/>
  <c r="Q42" i="10"/>
  <c r="P41" i="10"/>
  <c r="P43" i="10"/>
  <c r="P40" i="10"/>
  <c r="P42" i="10"/>
  <c r="O37" i="10"/>
  <c r="Q41" i="10"/>
  <c r="O42" i="10"/>
  <c r="Q43" i="10"/>
  <c r="P35" i="10"/>
  <c r="P37" i="10" s="1"/>
  <c r="O40" i="10"/>
  <c r="Q35" i="10"/>
  <c r="Q37" i="10" s="1"/>
  <c r="P38" i="8"/>
  <c r="P41" i="8"/>
  <c r="P40" i="8"/>
  <c r="P42" i="8"/>
  <c r="Q38" i="8"/>
  <c r="Q42" i="8"/>
  <c r="Q41" i="8"/>
  <c r="O38" i="8"/>
  <c r="O40" i="8"/>
  <c r="Q37" i="8"/>
  <c r="O41" i="8"/>
  <c r="O43" i="8"/>
  <c r="P43" i="8"/>
  <c r="O37" i="8"/>
  <c r="O42" i="8"/>
  <c r="Q43" i="8"/>
  <c r="P35" i="8"/>
  <c r="P37" i="8" s="1"/>
  <c r="Q40" i="8"/>
  <c r="O45" i="7"/>
  <c r="O52" i="7"/>
  <c r="O48" i="7"/>
  <c r="O47" i="7"/>
  <c r="O49" i="7"/>
  <c r="O43" i="7"/>
  <c r="O53" i="7"/>
  <c r="O55" i="7"/>
  <c r="P45" i="7"/>
  <c r="P49" i="7"/>
  <c r="P53" i="7"/>
  <c r="P47" i="7"/>
  <c r="P51" i="7"/>
  <c r="P55" i="7"/>
  <c r="P54" i="7"/>
  <c r="Q54" i="7"/>
  <c r="Q50" i="7"/>
  <c r="Q45" i="7"/>
  <c r="Q47" i="7"/>
  <c r="Q49" i="7"/>
  <c r="O50" i="7"/>
  <c r="Q51" i="7"/>
  <c r="Q53" i="7"/>
  <c r="O54" i="7"/>
  <c r="Q55" i="7"/>
  <c r="P40" i="7"/>
  <c r="P43" i="7" s="1"/>
  <c r="Q40" i="7"/>
  <c r="Q43" i="7" s="1"/>
  <c r="O41" i="7"/>
  <c r="O44" i="7" s="1"/>
  <c r="O51" i="7"/>
  <c r="P41" i="7"/>
  <c r="Q41" i="7"/>
  <c r="Q44" i="7" s="1"/>
</calcChain>
</file>

<file path=xl/sharedStrings.xml><?xml version="1.0" encoding="utf-8"?>
<sst xmlns="http://schemas.openxmlformats.org/spreadsheetml/2006/main" count="490" uniqueCount="92">
  <si>
    <t>UBE2H_917</t>
  </si>
  <si>
    <t>UBE2H_301</t>
  </si>
  <si>
    <t>UBE2H_268</t>
  </si>
  <si>
    <t>UBE2H_ 236</t>
  </si>
  <si>
    <t>FOSL1_634</t>
  </si>
  <si>
    <t>FOSL1_KS1</t>
  </si>
  <si>
    <t>FOSL1_636</t>
  </si>
  <si>
    <t>FOSL1_635</t>
  </si>
  <si>
    <t>FOSL1_632</t>
  </si>
  <si>
    <t>negative control</t>
  </si>
  <si>
    <t>UBE2H</t>
  </si>
  <si>
    <t>FOSL1</t>
  </si>
  <si>
    <t>average neg ctrl</t>
  </si>
  <si>
    <t>average Pos ctrl</t>
  </si>
  <si>
    <t>Day 18</t>
  </si>
  <si>
    <t>Day 15</t>
  </si>
  <si>
    <t>Day 12</t>
  </si>
  <si>
    <t>Day 9</t>
  </si>
  <si>
    <t>Day 6</t>
  </si>
  <si>
    <t>Day 3</t>
  </si>
  <si>
    <t>untransduced</t>
  </si>
  <si>
    <t xml:space="preserve"> CDC7_E7</t>
  </si>
  <si>
    <t>CDC7_E7</t>
  </si>
  <si>
    <t xml:space="preserve"> CDC7_E6</t>
  </si>
  <si>
    <t>CDC7_E6</t>
  </si>
  <si>
    <t xml:space="preserve"> CDC7_E5</t>
  </si>
  <si>
    <t>CDC7_E5</t>
  </si>
  <si>
    <t xml:space="preserve"> CDC7_E4</t>
  </si>
  <si>
    <t>CDC7_E4</t>
  </si>
  <si>
    <t xml:space="preserve"> CDK9_913</t>
  </si>
  <si>
    <t>CDK9_913</t>
  </si>
  <si>
    <t xml:space="preserve"> CDK9_774</t>
  </si>
  <si>
    <t>CDK9_774</t>
  </si>
  <si>
    <t xml:space="preserve"> CDK9_771</t>
  </si>
  <si>
    <t>CDK9_771</t>
  </si>
  <si>
    <t xml:space="preserve"> CDK9_44</t>
  </si>
  <si>
    <t>CDK9_44</t>
  </si>
  <si>
    <t>FosL1 634</t>
  </si>
  <si>
    <t xml:space="preserve"> AAVS1 g2</t>
  </si>
  <si>
    <t>AAvs1 g2</t>
  </si>
  <si>
    <t xml:space="preserve"> AAVS1 g1</t>
  </si>
  <si>
    <t>AAVS1 g1</t>
  </si>
  <si>
    <t>AAVS1_277</t>
  </si>
  <si>
    <t xml:space="preserve"> ROSA26_g1</t>
  </si>
  <si>
    <t>ROSA_g1</t>
  </si>
  <si>
    <t>ID</t>
  </si>
  <si>
    <t>sgRNA</t>
  </si>
  <si>
    <t>RPMI media</t>
  </si>
  <si>
    <t xml:space="preserve">Klaske Schukken </t>
  </si>
  <si>
    <t xml:space="preserve">SNU1 c12 Ts10.5.17_Ps2 sgRNA dropout : UBE2H and FOSL1 </t>
  </si>
  <si>
    <t>SNU1 c12</t>
  </si>
  <si>
    <t xml:space="preserve">Add 10ul PI to each well of 96-well plate. </t>
  </si>
  <si>
    <t xml:space="preserve">SNU1 c12 Aneu. </t>
  </si>
  <si>
    <t>SNU1 c12 aneuploid</t>
  </si>
  <si>
    <t>2025.08.29</t>
  </si>
  <si>
    <t xml:space="preserve">Cytoflex S machine:  using GFP/FITC channel </t>
  </si>
  <si>
    <t xml:space="preserve">August 29- 1ml virus and 500ul RPMI media. 150k cells per well </t>
  </si>
  <si>
    <t>April batch virus for all virus</t>
  </si>
  <si>
    <t>After 24hours added 1ml RMPI extra</t>
  </si>
  <si>
    <t xml:space="preserve">SNU1 c12 is a suspension tetraploid aneuploid clone </t>
  </si>
  <si>
    <t xml:space="preserve">SNU1 c13 control sgRNA dropout : UBE2H  </t>
  </si>
  <si>
    <t>2025.10.12</t>
  </si>
  <si>
    <t>SNU1 c13 is a suspension tetraploid clone, control</t>
  </si>
  <si>
    <t xml:space="preserve">(only 3ml of virus left) </t>
  </si>
  <si>
    <t xml:space="preserve">SNU1 c13 control </t>
  </si>
  <si>
    <t xml:space="preserve">Add 1ul PI to each well of 96-well plate. </t>
  </si>
  <si>
    <t>October 12- 1ml virus and 500ul RPMI media. 150k cells per well, 1ul polybrene in 4ml (2.5ug/ml)</t>
  </si>
  <si>
    <t>After 24hours added 1ml RPMI extra</t>
  </si>
  <si>
    <t>AAVS1 g2</t>
  </si>
  <si>
    <t>CDK9_ 44</t>
  </si>
  <si>
    <t>UBE2H_236</t>
  </si>
  <si>
    <t xml:space="preserve">SNU1 c24 and c114 sgRNA dropout : UBE2H  </t>
  </si>
  <si>
    <t xml:space="preserve">SNU1 c24 is a suspension tetraploid aneuploid clone </t>
  </si>
  <si>
    <t>c24 is semi adherant! Binding to the bottom of the plate</t>
  </si>
  <si>
    <t>Ts1.10.8.14_ Ps5</t>
  </si>
  <si>
    <t xml:space="preserve">SNU1 c24 Aneu. </t>
  </si>
  <si>
    <t>SNU1 c24 aneuploid</t>
  </si>
  <si>
    <t>Snu1 c24</t>
  </si>
  <si>
    <t xml:space="preserve">SNU1  c114 sgRNA dropout : UBE2H  </t>
  </si>
  <si>
    <t>SNU1 c114 is a suspension tetraploid aneuploid clones</t>
  </si>
  <si>
    <t>Ts9.19</t>
  </si>
  <si>
    <t xml:space="preserve">SNU1 c114 Aneu. </t>
  </si>
  <si>
    <t>SNU1 c114 aneuploid</t>
  </si>
  <si>
    <t>Snu1 c114</t>
  </si>
  <si>
    <t xml:space="preserve">SNU1 c13 Control </t>
  </si>
  <si>
    <t>SNU1 c24</t>
  </si>
  <si>
    <t>SNU1 c114</t>
  </si>
  <si>
    <t xml:space="preserve">t.test all combined: </t>
  </si>
  <si>
    <t xml:space="preserve">SNU1 c13 (try4) </t>
  </si>
  <si>
    <t>Overview SNU1 dropouts</t>
  </si>
  <si>
    <t xml:space="preserve">Average dropout per cell line: </t>
  </si>
  <si>
    <t xml:space="preserve">Dropout per sgRNA: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</si>
</sst>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_(* #,##0.0_);_(* \(#,##0.0\);_(* &quot;-&quot;??_);_(@_)"/>
    <numFmt numFmtId="168" formatCode="0.0000000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2"/>
      <color rgb="FF000000"/>
      <name val="Aptos Narrow"/>
      <family val="2"/>
      <charset val="1"/>
    </font>
    <font>
      <sz val="11"/>
      <color rgb="FF000000"/>
      <name val="Aptos Narrow"/>
    </font>
    <font>
      <b/>
      <sz val="12"/>
      <color rgb="FF000000"/>
      <name val="Calibri"/>
      <family val="2"/>
      <scheme val="minor"/>
    </font>
    <font>
      <sz val="12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A2A1"/>
        <bgColor indexed="64"/>
      </patternFill>
    </fill>
    <fill>
      <patternFill patternType="solid">
        <fgColor theme="2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6">
    <xf numFmtId="0" fontId="0" fillId="0" borderId="0" xfId="0"/>
    <xf numFmtId="9" fontId="0" fillId="0" borderId="0" xfId="2" applyFont="1"/>
    <xf numFmtId="0" fontId="0" fillId="2" borderId="1" xfId="0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/>
    </xf>
    <xf numFmtId="9" fontId="0" fillId="0" borderId="3" xfId="2" applyFont="1" applyBorder="1"/>
    <xf numFmtId="0" fontId="0" fillId="0" borderId="0" xfId="0" applyAlignment="1">
      <alignment horizontal="right"/>
    </xf>
    <xf numFmtId="9" fontId="0" fillId="0" borderId="4" xfId="2" applyFont="1" applyBorder="1"/>
    <xf numFmtId="164" fontId="0" fillId="0" borderId="0" xfId="0" applyNumberFormat="1"/>
    <xf numFmtId="164" fontId="0" fillId="0" borderId="4" xfId="0" applyNumberFormat="1" applyBorder="1"/>
    <xf numFmtId="164" fontId="0" fillId="4" borderId="5" xfId="0" applyNumberFormat="1" applyFill="1" applyBorder="1"/>
    <xf numFmtId="164" fontId="0" fillId="4" borderId="3" xfId="0" applyNumberFormat="1" applyFill="1" applyBorder="1"/>
    <xf numFmtId="0" fontId="0" fillId="4" borderId="5" xfId="0" applyFill="1" applyBorder="1" applyAlignment="1">
      <alignment horizontal="right"/>
    </xf>
    <xf numFmtId="16" fontId="3" fillId="0" borderId="6" xfId="0" applyNumberFormat="1" applyFont="1" applyBorder="1"/>
    <xf numFmtId="16" fontId="3" fillId="0" borderId="7" xfId="0" applyNumberFormat="1" applyFont="1" applyBorder="1"/>
    <xf numFmtId="164" fontId="0" fillId="5" borderId="0" xfId="0" applyNumberFormat="1" applyFill="1"/>
    <xf numFmtId="164" fontId="0" fillId="5" borderId="4" xfId="0" applyNumberFormat="1" applyFill="1" applyBorder="1"/>
    <xf numFmtId="0" fontId="0" fillId="5" borderId="0" xfId="0" applyFill="1" applyAlignment="1">
      <alignment horizontal="right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wrapText="1"/>
    </xf>
    <xf numFmtId="0" fontId="0" fillId="2" borderId="0" xfId="0" applyFill="1"/>
    <xf numFmtId="165" fontId="0" fillId="0" borderId="0" xfId="3" applyNumberFormat="1" applyFont="1"/>
    <xf numFmtId="0" fontId="0" fillId="3" borderId="0" xfId="0" applyFill="1" applyAlignment="1">
      <alignment horizontal="right"/>
    </xf>
    <xf numFmtId="0" fontId="0" fillId="3" borderId="0" xfId="0" applyFill="1"/>
    <xf numFmtId="0" fontId="5" fillId="2" borderId="0" xfId="0" applyFont="1" applyFill="1"/>
    <xf numFmtId="0" fontId="6" fillId="6" borderId="9" xfId="0" applyFont="1" applyFill="1" applyBorder="1" applyAlignment="1">
      <alignment horizontal="right"/>
    </xf>
    <xf numFmtId="0" fontId="0" fillId="2" borderId="7" xfId="0" applyFill="1" applyBorder="1"/>
    <xf numFmtId="0" fontId="0" fillId="2" borderId="10" xfId="0" applyFill="1" applyBorder="1" applyAlignment="1">
      <alignment horizontal="right"/>
    </xf>
    <xf numFmtId="0" fontId="7" fillId="0" borderId="1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9" fontId="7" fillId="0" borderId="5" xfId="0" applyNumberFormat="1" applyFont="1" applyBorder="1" applyAlignment="1">
      <alignment horizontal="center"/>
    </xf>
    <xf numFmtId="0" fontId="3" fillId="0" borderId="7" xfId="0" applyFont="1" applyBorder="1"/>
    <xf numFmtId="0" fontId="2" fillId="0" borderId="5" xfId="0" applyFont="1" applyBorder="1"/>
    <xf numFmtId="0" fontId="2" fillId="0" borderId="0" xfId="0" applyFont="1"/>
    <xf numFmtId="17" fontId="0" fillId="0" borderId="0" xfId="0" applyNumberFormat="1"/>
    <xf numFmtId="164" fontId="0" fillId="0" borderId="0" xfId="3" applyNumberFormat="1" applyFont="1"/>
    <xf numFmtId="164" fontId="0" fillId="4" borderId="0" xfId="0" applyNumberFormat="1" applyFill="1"/>
    <xf numFmtId="9" fontId="0" fillId="0" borderId="0" xfId="2" applyFont="1" applyBorder="1"/>
    <xf numFmtId="2" fontId="0" fillId="0" borderId="0" xfId="0" applyNumberFormat="1"/>
    <xf numFmtId="0" fontId="0" fillId="0" borderId="0" xfId="0" applyAlignment="1">
      <alignment horizontal="left"/>
    </xf>
    <xf numFmtId="0" fontId="8" fillId="0" borderId="7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5" xfId="0" applyFont="1" applyBorder="1"/>
    <xf numFmtId="164" fontId="0" fillId="4" borderId="4" xfId="0" applyNumberFormat="1" applyFill="1" applyBorder="1"/>
    <xf numFmtId="0" fontId="3" fillId="0" borderId="10" xfId="0" applyFont="1" applyBorder="1" applyAlignment="1">
      <alignment horizontal="right"/>
    </xf>
    <xf numFmtId="0" fontId="7" fillId="0" borderId="2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8" fillId="0" borderId="10" xfId="0" applyFont="1" applyBorder="1" applyAlignment="1">
      <alignment wrapText="1"/>
    </xf>
    <xf numFmtId="0" fontId="0" fillId="0" borderId="7" xfId="0" applyBorder="1"/>
    <xf numFmtId="2" fontId="8" fillId="0" borderId="7" xfId="0" applyNumberFormat="1" applyFont="1" applyBorder="1" applyAlignment="1">
      <alignment wrapText="1"/>
    </xf>
    <xf numFmtId="0" fontId="8" fillId="0" borderId="6" xfId="0" applyFont="1" applyBorder="1"/>
    <xf numFmtId="0" fontId="8" fillId="0" borderId="1" xfId="0" applyFont="1" applyBorder="1" applyAlignment="1">
      <alignment wrapText="1"/>
    </xf>
    <xf numFmtId="2" fontId="8" fillId="0" borderId="0" xfId="0" applyNumberFormat="1" applyFont="1" applyAlignment="1">
      <alignment wrapText="1"/>
    </xf>
    <xf numFmtId="0" fontId="8" fillId="0" borderId="12" xfId="0" applyFont="1" applyBorder="1"/>
    <xf numFmtId="0" fontId="0" fillId="3" borderId="5" xfId="0" applyFill="1" applyBorder="1"/>
    <xf numFmtId="0" fontId="3" fillId="6" borderId="9" xfId="0" applyFont="1" applyFill="1" applyBorder="1" applyAlignment="1">
      <alignment horizontal="right"/>
    </xf>
    <xf numFmtId="0" fontId="8" fillId="0" borderId="2" xfId="0" applyFont="1" applyBorder="1" applyAlignment="1">
      <alignment wrapText="1"/>
    </xf>
    <xf numFmtId="0" fontId="0" fillId="0" borderId="5" xfId="0" applyBorder="1"/>
    <xf numFmtId="0" fontId="8" fillId="0" borderId="5" xfId="0" applyFont="1" applyBorder="1" applyAlignment="1">
      <alignment wrapText="1"/>
    </xf>
    <xf numFmtId="2" fontId="8" fillId="0" borderId="5" xfId="0" applyNumberFormat="1" applyFont="1" applyBorder="1" applyAlignment="1">
      <alignment wrapText="1"/>
    </xf>
    <xf numFmtId="0" fontId="8" fillId="0" borderId="11" xfId="0" applyFont="1" applyBorder="1"/>
    <xf numFmtId="0" fontId="0" fillId="3" borderId="7" xfId="0" applyFill="1" applyBorder="1"/>
    <xf numFmtId="2" fontId="8" fillId="0" borderId="10" xfId="0" applyNumberFormat="1" applyFont="1" applyBorder="1" applyAlignment="1">
      <alignment wrapText="1"/>
    </xf>
    <xf numFmtId="2" fontId="8" fillId="0" borderId="1" xfId="0" applyNumberFormat="1" applyFont="1" applyBorder="1" applyAlignment="1">
      <alignment wrapText="1"/>
    </xf>
    <xf numFmtId="2" fontId="8" fillId="0" borderId="12" xfId="0" applyNumberFormat="1" applyFont="1" applyBorder="1"/>
    <xf numFmtId="0" fontId="5" fillId="0" borderId="0" xfId="0" applyFont="1"/>
    <xf numFmtId="2" fontId="8" fillId="0" borderId="2" xfId="0" applyNumberFormat="1" applyFont="1" applyBorder="1" applyAlignment="1">
      <alignment wrapText="1"/>
    </xf>
    <xf numFmtId="2" fontId="8" fillId="0" borderId="11" xfId="0" applyNumberFormat="1" applyFont="1" applyBorder="1"/>
    <xf numFmtId="0" fontId="0" fillId="0" borderId="4" xfId="0" applyBorder="1"/>
    <xf numFmtId="9" fontId="0" fillId="0" borderId="0" xfId="0" applyNumberFormat="1"/>
    <xf numFmtId="9" fontId="0" fillId="0" borderId="0" xfId="1" applyFont="1"/>
    <xf numFmtId="168" fontId="0" fillId="0" borderId="0" xfId="0" applyNumberFormat="1"/>
    <xf numFmtId="0" fontId="0" fillId="0" borderId="1" xfId="0" applyBorder="1" applyAlignment="1">
      <alignment horizontal="left"/>
    </xf>
  </cellXfs>
  <cellStyles count="4">
    <cellStyle name="Comma 2" xfId="3" xr:uid="{DDB5366F-FEC6-6C48-BA0A-C83B474B0FC1}"/>
    <cellStyle name="Normal" xfId="0" builtinId="0"/>
    <cellStyle name="Percent" xfId="1" builtinId="5"/>
    <cellStyle name="Percent 2" xfId="2" xr:uid="{DBE90238-B4A3-EF42-B913-B95587A383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'[2]SNU1 c12 try3'!$V$6</c:f>
              <c:strCache>
                <c:ptCount val="1"/>
                <c:pt idx="0">
                  <c:v>Day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'[2]SNU1 c12 try3'!$U$7:$U$24</c:f>
              <c:strCache>
                <c:ptCount val="18"/>
                <c:pt idx="0">
                  <c:v> ROSA26_g1</c:v>
                </c:pt>
                <c:pt idx="1">
                  <c:v>AAVS1_277</c:v>
                </c:pt>
                <c:pt idx="2">
                  <c:v> AAVS1 g1</c:v>
                </c:pt>
                <c:pt idx="3">
                  <c:v> AAVS1 g2</c:v>
                </c:pt>
                <c:pt idx="5">
                  <c:v> CDK9_44</c:v>
                </c:pt>
                <c:pt idx="6">
                  <c:v> CDK9_771</c:v>
                </c:pt>
                <c:pt idx="7">
                  <c:v> CDK9_774</c:v>
                </c:pt>
                <c:pt idx="8">
                  <c:v> CDK9_913</c:v>
                </c:pt>
                <c:pt idx="9">
                  <c:v> CDC7_E4</c:v>
                </c:pt>
                <c:pt idx="10">
                  <c:v> CDC7_E5</c:v>
                </c:pt>
                <c:pt idx="11">
                  <c:v> CDC7_E6</c:v>
                </c:pt>
                <c:pt idx="12">
                  <c:v> CDC7_E7</c:v>
                </c:pt>
                <c:pt idx="14">
                  <c:v>UBE2H_ 236</c:v>
                </c:pt>
                <c:pt idx="15">
                  <c:v>UBE2H_268</c:v>
                </c:pt>
                <c:pt idx="16">
                  <c:v>UBE2H_301</c:v>
                </c:pt>
                <c:pt idx="17">
                  <c:v>UBE2H_917</c:v>
                </c:pt>
              </c:strCache>
            </c:strRef>
          </c:cat>
          <c:val>
            <c:numRef>
              <c:f>'[2]SNU1 c12 try3'!$V$7:$V$24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4E-3F49-8F52-63BD18E5323A}"/>
            </c:ext>
          </c:extLst>
        </c:ser>
        <c:ser>
          <c:idx val="1"/>
          <c:order val="1"/>
          <c:tx>
            <c:strRef>
              <c:f>'[2]SNU1 c12 try3'!$W$6</c:f>
              <c:strCache>
                <c:ptCount val="1"/>
                <c:pt idx="0">
                  <c:v>Day 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'[2]SNU1 c12 try3'!$U$7:$U$24</c:f>
              <c:strCache>
                <c:ptCount val="18"/>
                <c:pt idx="0">
                  <c:v> ROSA26_g1</c:v>
                </c:pt>
                <c:pt idx="1">
                  <c:v>AAVS1_277</c:v>
                </c:pt>
                <c:pt idx="2">
                  <c:v> AAVS1 g1</c:v>
                </c:pt>
                <c:pt idx="3">
                  <c:v> AAVS1 g2</c:v>
                </c:pt>
                <c:pt idx="5">
                  <c:v> CDK9_44</c:v>
                </c:pt>
                <c:pt idx="6">
                  <c:v> CDK9_771</c:v>
                </c:pt>
                <c:pt idx="7">
                  <c:v> CDK9_774</c:v>
                </c:pt>
                <c:pt idx="8">
                  <c:v> CDK9_913</c:v>
                </c:pt>
                <c:pt idx="9">
                  <c:v> CDC7_E4</c:v>
                </c:pt>
                <c:pt idx="10">
                  <c:v> CDC7_E5</c:v>
                </c:pt>
                <c:pt idx="11">
                  <c:v> CDC7_E6</c:v>
                </c:pt>
                <c:pt idx="12">
                  <c:v> CDC7_E7</c:v>
                </c:pt>
                <c:pt idx="14">
                  <c:v>UBE2H_ 236</c:v>
                </c:pt>
                <c:pt idx="15">
                  <c:v>UBE2H_268</c:v>
                </c:pt>
                <c:pt idx="16">
                  <c:v>UBE2H_301</c:v>
                </c:pt>
                <c:pt idx="17">
                  <c:v>UBE2H_917</c:v>
                </c:pt>
              </c:strCache>
            </c:strRef>
          </c:cat>
          <c:val>
            <c:numRef>
              <c:f>'[2]SNU1 c12 try3'!$W$7:$W$24</c:f>
              <c:numCache>
                <c:formatCode>0.0</c:formatCode>
                <c:ptCount val="18"/>
                <c:pt idx="0">
                  <c:v>0.8595890410958904</c:v>
                </c:pt>
                <c:pt idx="1">
                  <c:v>0.94580777096114521</c:v>
                </c:pt>
                <c:pt idx="2">
                  <c:v>0.79538165490699164</c:v>
                </c:pt>
                <c:pt idx="3">
                  <c:v>0.66246719160104983</c:v>
                </c:pt>
                <c:pt idx="5">
                  <c:v>0.84950135992747056</c:v>
                </c:pt>
                <c:pt idx="6">
                  <c:v>0.99069767441860457</c:v>
                </c:pt>
                <c:pt idx="7">
                  <c:v>0.77115384615384608</c:v>
                </c:pt>
                <c:pt idx="8">
                  <c:v>0.8335435056746533</c:v>
                </c:pt>
                <c:pt idx="9">
                  <c:v>1.3128964059196615</c:v>
                </c:pt>
                <c:pt idx="10">
                  <c:v>1.3081081081081081</c:v>
                </c:pt>
                <c:pt idx="11">
                  <c:v>1.0467091295116773</c:v>
                </c:pt>
                <c:pt idx="12">
                  <c:v>1.1031390134529149</c:v>
                </c:pt>
                <c:pt idx="14">
                  <c:v>1.0717131474103587</c:v>
                </c:pt>
                <c:pt idx="15">
                  <c:v>1.0294117647058825</c:v>
                </c:pt>
                <c:pt idx="16">
                  <c:v>0.89157706093189959</c:v>
                </c:pt>
                <c:pt idx="17">
                  <c:v>0.84306826178747363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4E-3F49-8F52-63BD18E5323A}"/>
            </c:ext>
          </c:extLst>
        </c:ser>
        <c:ser>
          <c:idx val="2"/>
          <c:order val="2"/>
          <c:tx>
            <c:strRef>
              <c:f>'[2]SNU1 c12 try3'!$X$6</c:f>
              <c:strCache>
                <c:ptCount val="1"/>
                <c:pt idx="0">
                  <c:v>Day 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'[2]SNU1 c12 try3'!$U$7:$U$24</c:f>
              <c:strCache>
                <c:ptCount val="18"/>
                <c:pt idx="0">
                  <c:v> ROSA26_g1</c:v>
                </c:pt>
                <c:pt idx="1">
                  <c:v>AAVS1_277</c:v>
                </c:pt>
                <c:pt idx="2">
                  <c:v> AAVS1 g1</c:v>
                </c:pt>
                <c:pt idx="3">
                  <c:v> AAVS1 g2</c:v>
                </c:pt>
                <c:pt idx="5">
                  <c:v> CDK9_44</c:v>
                </c:pt>
                <c:pt idx="6">
                  <c:v> CDK9_771</c:v>
                </c:pt>
                <c:pt idx="7">
                  <c:v> CDK9_774</c:v>
                </c:pt>
                <c:pt idx="8">
                  <c:v> CDK9_913</c:v>
                </c:pt>
                <c:pt idx="9">
                  <c:v> CDC7_E4</c:v>
                </c:pt>
                <c:pt idx="10">
                  <c:v> CDC7_E5</c:v>
                </c:pt>
                <c:pt idx="11">
                  <c:v> CDC7_E6</c:v>
                </c:pt>
                <c:pt idx="12">
                  <c:v> CDC7_E7</c:v>
                </c:pt>
                <c:pt idx="14">
                  <c:v>UBE2H_ 236</c:v>
                </c:pt>
                <c:pt idx="15">
                  <c:v>UBE2H_268</c:v>
                </c:pt>
                <c:pt idx="16">
                  <c:v>UBE2H_301</c:v>
                </c:pt>
                <c:pt idx="17">
                  <c:v>UBE2H_917</c:v>
                </c:pt>
              </c:strCache>
            </c:strRef>
          </c:cat>
          <c:val>
            <c:numRef>
              <c:f>'[2]SNU1 c12 try3'!$X$7:$X$24</c:f>
              <c:numCache>
                <c:formatCode>0.0</c:formatCode>
                <c:ptCount val="18"/>
                <c:pt idx="0">
                  <c:v>0.98652442448062894</c:v>
                </c:pt>
                <c:pt idx="1">
                  <c:v>1.1253041362530414</c:v>
                </c:pt>
                <c:pt idx="2">
                  <c:v>0.95752895752895761</c:v>
                </c:pt>
                <c:pt idx="3">
                  <c:v>0.92862398822663716</c:v>
                </c:pt>
                <c:pt idx="5">
                  <c:v>1.2280471821756225</c:v>
                </c:pt>
                <c:pt idx="6">
                  <c:v>1.3284823284823286</c:v>
                </c:pt>
                <c:pt idx="7">
                  <c:v>0.8354166666666667</c:v>
                </c:pt>
                <c:pt idx="8">
                  <c:v>1.0216383307573416</c:v>
                </c:pt>
                <c:pt idx="9">
                  <c:v>2.397683397683398</c:v>
                </c:pt>
                <c:pt idx="10">
                  <c:v>2.5608465608465609</c:v>
                </c:pt>
                <c:pt idx="11">
                  <c:v>1.6768707482993197</c:v>
                </c:pt>
                <c:pt idx="12">
                  <c:v>1.7446808510638299</c:v>
                </c:pt>
                <c:pt idx="14">
                  <c:v>2.0456273764258555</c:v>
                </c:pt>
                <c:pt idx="15">
                  <c:v>1.4957264957264957</c:v>
                </c:pt>
                <c:pt idx="16">
                  <c:v>1.2344913151364763</c:v>
                </c:pt>
                <c:pt idx="17">
                  <c:v>0.96070569366479552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4E-3F49-8F52-63BD18E5323A}"/>
            </c:ext>
          </c:extLst>
        </c:ser>
        <c:ser>
          <c:idx val="3"/>
          <c:order val="3"/>
          <c:tx>
            <c:strRef>
              <c:f>'[2]SNU1 c12 try3'!$Y$6</c:f>
              <c:strCache>
                <c:ptCount val="1"/>
                <c:pt idx="0">
                  <c:v>Day 12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'[2]SNU1 c12 try3'!$U$7:$U$24</c:f>
              <c:strCache>
                <c:ptCount val="18"/>
                <c:pt idx="0">
                  <c:v> ROSA26_g1</c:v>
                </c:pt>
                <c:pt idx="1">
                  <c:v>AAVS1_277</c:v>
                </c:pt>
                <c:pt idx="2">
                  <c:v> AAVS1 g1</c:v>
                </c:pt>
                <c:pt idx="3">
                  <c:v> AAVS1 g2</c:v>
                </c:pt>
                <c:pt idx="5">
                  <c:v> CDK9_44</c:v>
                </c:pt>
                <c:pt idx="6">
                  <c:v> CDK9_771</c:v>
                </c:pt>
                <c:pt idx="7">
                  <c:v> CDK9_774</c:v>
                </c:pt>
                <c:pt idx="8">
                  <c:v> CDK9_913</c:v>
                </c:pt>
                <c:pt idx="9">
                  <c:v> CDC7_E4</c:v>
                </c:pt>
                <c:pt idx="10">
                  <c:v> CDC7_E5</c:v>
                </c:pt>
                <c:pt idx="11">
                  <c:v> CDC7_E6</c:v>
                </c:pt>
                <c:pt idx="12">
                  <c:v> CDC7_E7</c:v>
                </c:pt>
                <c:pt idx="14">
                  <c:v>UBE2H_ 236</c:v>
                </c:pt>
                <c:pt idx="15">
                  <c:v>UBE2H_268</c:v>
                </c:pt>
                <c:pt idx="16">
                  <c:v>UBE2H_301</c:v>
                </c:pt>
                <c:pt idx="17">
                  <c:v>UBE2H_917</c:v>
                </c:pt>
              </c:strCache>
            </c:strRef>
          </c:cat>
          <c:val>
            <c:numRef>
              <c:f>'[2]SNU1 c12 try3'!$Y$7:$Y$24</c:f>
              <c:numCache>
                <c:formatCode>0.0</c:formatCode>
                <c:ptCount val="18"/>
                <c:pt idx="0">
                  <c:v>1.1394293125810635</c:v>
                </c:pt>
                <c:pt idx="1">
                  <c:v>1.3888888888888888</c:v>
                </c:pt>
                <c:pt idx="2">
                  <c:v>1.0925110132158591</c:v>
                </c:pt>
                <c:pt idx="3">
                  <c:v>1.0516666666666665</c:v>
                </c:pt>
                <c:pt idx="5">
                  <c:v>2.0776053215077606</c:v>
                </c:pt>
                <c:pt idx="6">
                  <c:v>2.4482758620689653</c:v>
                </c:pt>
                <c:pt idx="7">
                  <c:v>0.9479905437352244</c:v>
                </c:pt>
                <c:pt idx="8">
                  <c:v>1.4063829787234043</c:v>
                </c:pt>
                <c:pt idx="9">
                  <c:v>3.7185628742514973</c:v>
                </c:pt>
                <c:pt idx="10">
                  <c:v>4.7920792079207919</c:v>
                </c:pt>
                <c:pt idx="11">
                  <c:v>3.3537414965986394</c:v>
                </c:pt>
                <c:pt idx="12">
                  <c:v>2.2990654205607477</c:v>
                </c:pt>
                <c:pt idx="14">
                  <c:v>3.5629139072847682</c:v>
                </c:pt>
                <c:pt idx="15">
                  <c:v>2.3755656108597285</c:v>
                </c:pt>
                <c:pt idx="16">
                  <c:v>1.8667917448405251</c:v>
                </c:pt>
                <c:pt idx="17">
                  <c:v>1.1486097794822627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4E-3F49-8F52-63BD18E5323A}"/>
            </c:ext>
          </c:extLst>
        </c:ser>
        <c:ser>
          <c:idx val="4"/>
          <c:order val="4"/>
          <c:tx>
            <c:strRef>
              <c:f>'[2]SNU1 c12 try3'!$Z$6</c:f>
              <c:strCache>
                <c:ptCount val="1"/>
                <c:pt idx="0">
                  <c:v>Day 15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'[2]SNU1 c12 try3'!$U$7:$U$24</c:f>
              <c:strCache>
                <c:ptCount val="18"/>
                <c:pt idx="0">
                  <c:v> ROSA26_g1</c:v>
                </c:pt>
                <c:pt idx="1">
                  <c:v>AAVS1_277</c:v>
                </c:pt>
                <c:pt idx="2">
                  <c:v> AAVS1 g1</c:v>
                </c:pt>
                <c:pt idx="3">
                  <c:v> AAVS1 g2</c:v>
                </c:pt>
                <c:pt idx="5">
                  <c:v> CDK9_44</c:v>
                </c:pt>
                <c:pt idx="6">
                  <c:v> CDK9_771</c:v>
                </c:pt>
                <c:pt idx="7">
                  <c:v> CDK9_774</c:v>
                </c:pt>
                <c:pt idx="8">
                  <c:v> CDK9_913</c:v>
                </c:pt>
                <c:pt idx="9">
                  <c:v> CDC7_E4</c:v>
                </c:pt>
                <c:pt idx="10">
                  <c:v> CDC7_E5</c:v>
                </c:pt>
                <c:pt idx="11">
                  <c:v> CDC7_E6</c:v>
                </c:pt>
                <c:pt idx="12">
                  <c:v> CDC7_E7</c:v>
                </c:pt>
                <c:pt idx="14">
                  <c:v>UBE2H_ 236</c:v>
                </c:pt>
                <c:pt idx="15">
                  <c:v>UBE2H_268</c:v>
                </c:pt>
                <c:pt idx="16">
                  <c:v>UBE2H_301</c:v>
                </c:pt>
                <c:pt idx="17">
                  <c:v>UBE2H_917</c:v>
                </c:pt>
              </c:strCache>
            </c:strRef>
          </c:cat>
          <c:val>
            <c:numRef>
              <c:f>'[2]SNU1 c12 try3'!$Z$7:$Z$24</c:f>
              <c:numCache>
                <c:formatCode>0.0</c:formatCode>
                <c:ptCount val="18"/>
                <c:pt idx="0">
                  <c:v>1.2966789667896679</c:v>
                </c:pt>
                <c:pt idx="1">
                  <c:v>1.6666666666666667</c:v>
                </c:pt>
                <c:pt idx="2">
                  <c:v>1.3177470775770457</c:v>
                </c:pt>
                <c:pt idx="3">
                  <c:v>1.3326293558606124</c:v>
                </c:pt>
                <c:pt idx="5">
                  <c:v>3.9535864978902948</c:v>
                </c:pt>
                <c:pt idx="6">
                  <c:v>4.9153846153846148</c:v>
                </c:pt>
                <c:pt idx="7">
                  <c:v>1.1424501424501425</c:v>
                </c:pt>
                <c:pt idx="8">
                  <c:v>2.0984126984126985</c:v>
                </c:pt>
                <c:pt idx="9">
                  <c:v>4.0324675324675328</c:v>
                </c:pt>
                <c:pt idx="10">
                  <c:v>7.9344262295081966</c:v>
                </c:pt>
                <c:pt idx="11">
                  <c:v>4.6509433962264142</c:v>
                </c:pt>
                <c:pt idx="12">
                  <c:v>2.6451612903225805</c:v>
                </c:pt>
                <c:pt idx="14">
                  <c:v>5.0754716981132075</c:v>
                </c:pt>
                <c:pt idx="15">
                  <c:v>3.3018867924528301</c:v>
                </c:pt>
                <c:pt idx="16">
                  <c:v>2.8107344632768361</c:v>
                </c:pt>
                <c:pt idx="17">
                  <c:v>1.3995327102803738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4E-3F49-8F52-63BD18E5323A}"/>
            </c:ext>
          </c:extLst>
        </c:ser>
        <c:ser>
          <c:idx val="5"/>
          <c:order val="5"/>
          <c:tx>
            <c:strRef>
              <c:f>'[2]SNU1 c12 try3'!$AA$6</c:f>
              <c:strCache>
                <c:ptCount val="1"/>
                <c:pt idx="0">
                  <c:v>Day 18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'[2]SNU1 c12 try3'!$U$7:$U$24</c:f>
              <c:strCache>
                <c:ptCount val="18"/>
                <c:pt idx="0">
                  <c:v> ROSA26_g1</c:v>
                </c:pt>
                <c:pt idx="1">
                  <c:v>AAVS1_277</c:v>
                </c:pt>
                <c:pt idx="2">
                  <c:v> AAVS1 g1</c:v>
                </c:pt>
                <c:pt idx="3">
                  <c:v> AAVS1 g2</c:v>
                </c:pt>
                <c:pt idx="5">
                  <c:v> CDK9_44</c:v>
                </c:pt>
                <c:pt idx="6">
                  <c:v> CDK9_771</c:v>
                </c:pt>
                <c:pt idx="7">
                  <c:v> CDK9_774</c:v>
                </c:pt>
                <c:pt idx="8">
                  <c:v> CDK9_913</c:v>
                </c:pt>
                <c:pt idx="9">
                  <c:v> CDC7_E4</c:v>
                </c:pt>
                <c:pt idx="10">
                  <c:v> CDC7_E5</c:v>
                </c:pt>
                <c:pt idx="11">
                  <c:v> CDC7_E6</c:v>
                </c:pt>
                <c:pt idx="12">
                  <c:v> CDC7_E7</c:v>
                </c:pt>
                <c:pt idx="14">
                  <c:v>UBE2H_ 236</c:v>
                </c:pt>
                <c:pt idx="15">
                  <c:v>UBE2H_268</c:v>
                </c:pt>
                <c:pt idx="16">
                  <c:v>UBE2H_301</c:v>
                </c:pt>
                <c:pt idx="17">
                  <c:v>UBE2H_917</c:v>
                </c:pt>
              </c:strCache>
            </c:strRef>
          </c:cat>
          <c:val>
            <c:numRef>
              <c:f>'[2]SNU1 c12 try3'!$AA$7:$AA$24</c:f>
              <c:numCache>
                <c:formatCode>0.0</c:formatCode>
                <c:ptCount val="18"/>
                <c:pt idx="0">
                  <c:v>1.5318221447253704</c:v>
                </c:pt>
                <c:pt idx="1">
                  <c:v>1.97228144989339</c:v>
                </c:pt>
                <c:pt idx="2">
                  <c:v>1.5597484276729561</c:v>
                </c:pt>
                <c:pt idx="3">
                  <c:v>1.5446756425948591</c:v>
                </c:pt>
                <c:pt idx="5">
                  <c:v>6.4620689655172407</c:v>
                </c:pt>
                <c:pt idx="6">
                  <c:v>9.1285714285714281</c:v>
                </c:pt>
                <c:pt idx="7">
                  <c:v>1.3639455782312924</c:v>
                </c:pt>
                <c:pt idx="8">
                  <c:v>2.8864628820960698</c:v>
                </c:pt>
                <c:pt idx="9">
                  <c:v>5.0901639344262293</c:v>
                </c:pt>
                <c:pt idx="10">
                  <c:v>9.8775510204081627</c:v>
                </c:pt>
                <c:pt idx="11">
                  <c:v>5.8</c:v>
                </c:pt>
                <c:pt idx="12">
                  <c:v>3.0749999999999997</c:v>
                </c:pt>
                <c:pt idx="14">
                  <c:v>7.2702702702702702</c:v>
                </c:pt>
                <c:pt idx="15">
                  <c:v>4.338842975206612</c:v>
                </c:pt>
                <c:pt idx="16">
                  <c:v>3.9799999999999995</c:v>
                </c:pt>
                <c:pt idx="17">
                  <c:v>1.7237410071942447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4E-3F49-8F52-63BD18E53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775424"/>
        <c:axId val="446769920"/>
      </c:barChart>
      <c:catAx>
        <c:axId val="44677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769920"/>
        <c:crosses val="autoZero"/>
        <c:auto val="1"/>
        <c:lblAlgn val="ctr"/>
        <c:lblOffset val="100"/>
        <c:noMultiLvlLbl val="0"/>
      </c:catAx>
      <c:valAx>
        <c:axId val="44676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77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SNU1 c13</a:t>
            </a:r>
            <a:r>
              <a:rPr lang="en-US" baseline="0"/>
              <a:t> Control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'[2]SNU1 c13 Control try4'!$V$6</c:f>
              <c:strCache>
                <c:ptCount val="1"/>
                <c:pt idx="0">
                  <c:v>Day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'[2]SNU1 c13 Control try4'!$U$7:$U$24</c:f>
              <c:strCache>
                <c:ptCount val="18"/>
                <c:pt idx="0">
                  <c:v>ROSA_g1</c:v>
                </c:pt>
                <c:pt idx="1">
                  <c:v>AAVS1_277</c:v>
                </c:pt>
                <c:pt idx="2">
                  <c:v>AAVS1 g1</c:v>
                </c:pt>
                <c:pt idx="3">
                  <c:v>AAVS1 g2</c:v>
                </c:pt>
                <c:pt idx="5">
                  <c:v>CDK9_ 44</c:v>
                </c:pt>
                <c:pt idx="6">
                  <c:v>CDK9_771</c:v>
                </c:pt>
                <c:pt idx="7">
                  <c:v>CDK9_774</c:v>
                </c:pt>
                <c:pt idx="8">
                  <c:v>CDK9_913</c:v>
                </c:pt>
                <c:pt idx="9">
                  <c:v>CDC7_E4</c:v>
                </c:pt>
                <c:pt idx="10">
                  <c:v>CDC7_E5</c:v>
                </c:pt>
                <c:pt idx="11">
                  <c:v>CDC7_E6</c:v>
                </c:pt>
                <c:pt idx="12">
                  <c:v>CDC7_E7</c:v>
                </c:pt>
                <c:pt idx="14">
                  <c:v>UBE2H_236</c:v>
                </c:pt>
                <c:pt idx="15">
                  <c:v>UBE2H_268</c:v>
                </c:pt>
                <c:pt idx="16">
                  <c:v>UBE2H_301</c:v>
                </c:pt>
                <c:pt idx="17">
                  <c:v>UBE2H_917</c:v>
                </c:pt>
              </c:strCache>
            </c:strRef>
          </c:cat>
          <c:val>
            <c:numRef>
              <c:f>'[2]SNU1 c13 Control try4'!$V$7:$V$24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B-F242-923D-D82970C25D2F}"/>
            </c:ext>
          </c:extLst>
        </c:ser>
        <c:ser>
          <c:idx val="1"/>
          <c:order val="1"/>
          <c:tx>
            <c:strRef>
              <c:f>'[2]SNU1 c13 Control try4'!$W$6</c:f>
              <c:strCache>
                <c:ptCount val="1"/>
                <c:pt idx="0">
                  <c:v>Day 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'[2]SNU1 c13 Control try4'!$U$7:$U$24</c:f>
              <c:strCache>
                <c:ptCount val="18"/>
                <c:pt idx="0">
                  <c:v>ROSA_g1</c:v>
                </c:pt>
                <c:pt idx="1">
                  <c:v>AAVS1_277</c:v>
                </c:pt>
                <c:pt idx="2">
                  <c:v>AAVS1 g1</c:v>
                </c:pt>
                <c:pt idx="3">
                  <c:v>AAVS1 g2</c:v>
                </c:pt>
                <c:pt idx="5">
                  <c:v>CDK9_ 44</c:v>
                </c:pt>
                <c:pt idx="6">
                  <c:v>CDK9_771</c:v>
                </c:pt>
                <c:pt idx="7">
                  <c:v>CDK9_774</c:v>
                </c:pt>
                <c:pt idx="8">
                  <c:v>CDK9_913</c:v>
                </c:pt>
                <c:pt idx="9">
                  <c:v>CDC7_E4</c:v>
                </c:pt>
                <c:pt idx="10">
                  <c:v>CDC7_E5</c:v>
                </c:pt>
                <c:pt idx="11">
                  <c:v>CDC7_E6</c:v>
                </c:pt>
                <c:pt idx="12">
                  <c:v>CDC7_E7</c:v>
                </c:pt>
                <c:pt idx="14">
                  <c:v>UBE2H_236</c:v>
                </c:pt>
                <c:pt idx="15">
                  <c:v>UBE2H_268</c:v>
                </c:pt>
                <c:pt idx="16">
                  <c:v>UBE2H_301</c:v>
                </c:pt>
                <c:pt idx="17">
                  <c:v>UBE2H_917</c:v>
                </c:pt>
              </c:strCache>
            </c:strRef>
          </c:cat>
          <c:val>
            <c:numRef>
              <c:f>'[2]SNU1 c13 Control try4'!$W$7:$W$24</c:f>
              <c:numCache>
                <c:formatCode>0.0</c:formatCode>
                <c:ptCount val="18"/>
                <c:pt idx="0">
                  <c:v>0.87731219328048315</c:v>
                </c:pt>
                <c:pt idx="1">
                  <c:v>0.84593023255813959</c:v>
                </c:pt>
                <c:pt idx="2">
                  <c:v>0.86243262245137087</c:v>
                </c:pt>
                <c:pt idx="3">
                  <c:v>0.86419753086419759</c:v>
                </c:pt>
                <c:pt idx="5">
                  <c:v>0.93646996278575223</c:v>
                </c:pt>
                <c:pt idx="6">
                  <c:v>0.97622377622377632</c:v>
                </c:pt>
                <c:pt idx="7">
                  <c:v>0.82207578253706759</c:v>
                </c:pt>
                <c:pt idx="8">
                  <c:v>0.9179136383069687</c:v>
                </c:pt>
                <c:pt idx="9">
                  <c:v>1.1888185654008439</c:v>
                </c:pt>
                <c:pt idx="10">
                  <c:v>1.3177762525737817</c:v>
                </c:pt>
                <c:pt idx="11">
                  <c:v>1.2337192474674386</c:v>
                </c:pt>
                <c:pt idx="12">
                  <c:v>1.1477799867461895</c:v>
                </c:pt>
                <c:pt idx="14">
                  <c:v>0.89962358845671275</c:v>
                </c:pt>
                <c:pt idx="15">
                  <c:v>0.91237830319888724</c:v>
                </c:pt>
                <c:pt idx="16">
                  <c:v>0.87533712915792639</c:v>
                </c:pt>
                <c:pt idx="17">
                  <c:v>0.85385018334206397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2B-F242-923D-D82970C25D2F}"/>
            </c:ext>
          </c:extLst>
        </c:ser>
        <c:ser>
          <c:idx val="2"/>
          <c:order val="2"/>
          <c:tx>
            <c:strRef>
              <c:f>'[2]SNU1 c13 Control try4'!$X$6</c:f>
              <c:strCache>
                <c:ptCount val="1"/>
                <c:pt idx="0">
                  <c:v>Day 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'[2]SNU1 c13 Control try4'!$U$7:$U$24</c:f>
              <c:strCache>
                <c:ptCount val="18"/>
                <c:pt idx="0">
                  <c:v>ROSA_g1</c:v>
                </c:pt>
                <c:pt idx="1">
                  <c:v>AAVS1_277</c:v>
                </c:pt>
                <c:pt idx="2">
                  <c:v>AAVS1 g1</c:v>
                </c:pt>
                <c:pt idx="3">
                  <c:v>AAVS1 g2</c:v>
                </c:pt>
                <c:pt idx="5">
                  <c:v>CDK9_ 44</c:v>
                </c:pt>
                <c:pt idx="6">
                  <c:v>CDK9_771</c:v>
                </c:pt>
                <c:pt idx="7">
                  <c:v>CDK9_774</c:v>
                </c:pt>
                <c:pt idx="8">
                  <c:v>CDK9_913</c:v>
                </c:pt>
                <c:pt idx="9">
                  <c:v>CDC7_E4</c:v>
                </c:pt>
                <c:pt idx="10">
                  <c:v>CDC7_E5</c:v>
                </c:pt>
                <c:pt idx="11">
                  <c:v>CDC7_E6</c:v>
                </c:pt>
                <c:pt idx="12">
                  <c:v>CDC7_E7</c:v>
                </c:pt>
                <c:pt idx="14">
                  <c:v>UBE2H_236</c:v>
                </c:pt>
                <c:pt idx="15">
                  <c:v>UBE2H_268</c:v>
                </c:pt>
                <c:pt idx="16">
                  <c:v>UBE2H_301</c:v>
                </c:pt>
                <c:pt idx="17">
                  <c:v>UBE2H_917</c:v>
                </c:pt>
              </c:strCache>
            </c:strRef>
          </c:cat>
          <c:val>
            <c:numRef>
              <c:f>'[2]SNU1 c13 Control try4'!$X$7:$X$24</c:f>
              <c:numCache>
                <c:formatCode>0.0</c:formatCode>
                <c:ptCount val="18"/>
                <c:pt idx="0">
                  <c:v>1.0201931518876206</c:v>
                </c:pt>
                <c:pt idx="1">
                  <c:v>0.90560165975103735</c:v>
                </c:pt>
                <c:pt idx="2">
                  <c:v>0.89712335446123825</c:v>
                </c:pt>
                <c:pt idx="3">
                  <c:v>0.89983022071307306</c:v>
                </c:pt>
                <c:pt idx="5">
                  <c:v>1.3170093457943923</c:v>
                </c:pt>
                <c:pt idx="6">
                  <c:v>1.6045977011494252</c:v>
                </c:pt>
                <c:pt idx="7">
                  <c:v>0.86481802426343168</c:v>
                </c:pt>
                <c:pt idx="8">
                  <c:v>1.1719432314410481</c:v>
                </c:pt>
                <c:pt idx="9">
                  <c:v>1.9894086496028243</c:v>
                </c:pt>
                <c:pt idx="10">
                  <c:v>3.8631790744466801</c:v>
                </c:pt>
                <c:pt idx="11">
                  <c:v>2.6682316118935838</c:v>
                </c:pt>
                <c:pt idx="12">
                  <c:v>1.5933762649494021</c:v>
                </c:pt>
                <c:pt idx="14">
                  <c:v>1.1053442959917781</c:v>
                </c:pt>
                <c:pt idx="15">
                  <c:v>1.0942452043369473</c:v>
                </c:pt>
                <c:pt idx="16">
                  <c:v>0.94622610949141561</c:v>
                </c:pt>
                <c:pt idx="17">
                  <c:v>0.91856861087630315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2B-F242-923D-D82970C25D2F}"/>
            </c:ext>
          </c:extLst>
        </c:ser>
        <c:ser>
          <c:idx val="3"/>
          <c:order val="3"/>
          <c:tx>
            <c:strRef>
              <c:f>'[2]SNU1 c13 Control try4'!$Y$6</c:f>
              <c:strCache>
                <c:ptCount val="1"/>
                <c:pt idx="0">
                  <c:v>Day 12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'[2]SNU1 c13 Control try4'!$U$7:$U$24</c:f>
              <c:strCache>
                <c:ptCount val="18"/>
                <c:pt idx="0">
                  <c:v>ROSA_g1</c:v>
                </c:pt>
                <c:pt idx="1">
                  <c:v>AAVS1_277</c:v>
                </c:pt>
                <c:pt idx="2">
                  <c:v>AAVS1 g1</c:v>
                </c:pt>
                <c:pt idx="3">
                  <c:v>AAVS1 g2</c:v>
                </c:pt>
                <c:pt idx="5">
                  <c:v>CDK9_ 44</c:v>
                </c:pt>
                <c:pt idx="6">
                  <c:v>CDK9_771</c:v>
                </c:pt>
                <c:pt idx="7">
                  <c:v>CDK9_774</c:v>
                </c:pt>
                <c:pt idx="8">
                  <c:v>CDK9_913</c:v>
                </c:pt>
                <c:pt idx="9">
                  <c:v>CDC7_E4</c:v>
                </c:pt>
                <c:pt idx="10">
                  <c:v>CDC7_E5</c:v>
                </c:pt>
                <c:pt idx="11">
                  <c:v>CDC7_E6</c:v>
                </c:pt>
                <c:pt idx="12">
                  <c:v>CDC7_E7</c:v>
                </c:pt>
                <c:pt idx="14">
                  <c:v>UBE2H_236</c:v>
                </c:pt>
                <c:pt idx="15">
                  <c:v>UBE2H_268</c:v>
                </c:pt>
                <c:pt idx="16">
                  <c:v>UBE2H_301</c:v>
                </c:pt>
                <c:pt idx="17">
                  <c:v>UBE2H_917</c:v>
                </c:pt>
              </c:strCache>
            </c:strRef>
          </c:cat>
          <c:val>
            <c:numRef>
              <c:f>'[2]SNU1 c13 Control try4'!$Y$7:$Y$24</c:f>
              <c:numCache>
                <c:formatCode>0.0</c:formatCode>
                <c:ptCount val="18"/>
                <c:pt idx="0">
                  <c:v>0.97935103244837751</c:v>
                </c:pt>
                <c:pt idx="1">
                  <c:v>1.0147229755908564</c:v>
                </c:pt>
                <c:pt idx="2">
                  <c:v>1.0137741046831956</c:v>
                </c:pt>
                <c:pt idx="3">
                  <c:v>0.96263622210690203</c:v>
                </c:pt>
                <c:pt idx="5">
                  <c:v>3.4607072691552059</c:v>
                </c:pt>
                <c:pt idx="6">
                  <c:v>4.3534303534303538</c:v>
                </c:pt>
                <c:pt idx="7">
                  <c:v>1.0246406570841891</c:v>
                </c:pt>
                <c:pt idx="8">
                  <c:v>1.9972093023255812</c:v>
                </c:pt>
                <c:pt idx="9">
                  <c:v>3.0542005420054199</c:v>
                </c:pt>
                <c:pt idx="10">
                  <c:v>10.607734806629834</c:v>
                </c:pt>
                <c:pt idx="11">
                  <c:v>5.9201388888888893</c:v>
                </c:pt>
                <c:pt idx="12">
                  <c:v>2.0817307692307692</c:v>
                </c:pt>
                <c:pt idx="14">
                  <c:v>1.7346774193548389</c:v>
                </c:pt>
                <c:pt idx="15">
                  <c:v>1.601953601953602</c:v>
                </c:pt>
                <c:pt idx="16">
                  <c:v>1.2345731191885039</c:v>
                </c:pt>
                <c:pt idx="17">
                  <c:v>1.1867491809246451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2B-F242-923D-D82970C25D2F}"/>
            </c:ext>
          </c:extLst>
        </c:ser>
        <c:ser>
          <c:idx val="4"/>
          <c:order val="4"/>
          <c:tx>
            <c:strRef>
              <c:f>'[2]SNU1 c13 Control try4'!$Z$6</c:f>
              <c:strCache>
                <c:ptCount val="1"/>
                <c:pt idx="0">
                  <c:v>Day 15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'[2]SNU1 c13 Control try4'!$U$7:$U$24</c:f>
              <c:strCache>
                <c:ptCount val="18"/>
                <c:pt idx="0">
                  <c:v>ROSA_g1</c:v>
                </c:pt>
                <c:pt idx="1">
                  <c:v>AAVS1_277</c:v>
                </c:pt>
                <c:pt idx="2">
                  <c:v>AAVS1 g1</c:v>
                </c:pt>
                <c:pt idx="3">
                  <c:v>AAVS1 g2</c:v>
                </c:pt>
                <c:pt idx="5">
                  <c:v>CDK9_ 44</c:v>
                </c:pt>
                <c:pt idx="6">
                  <c:v>CDK9_771</c:v>
                </c:pt>
                <c:pt idx="7">
                  <c:v>CDK9_774</c:v>
                </c:pt>
                <c:pt idx="8">
                  <c:v>CDK9_913</c:v>
                </c:pt>
                <c:pt idx="9">
                  <c:v>CDC7_E4</c:v>
                </c:pt>
                <c:pt idx="10">
                  <c:v>CDC7_E5</c:v>
                </c:pt>
                <c:pt idx="11">
                  <c:v>CDC7_E6</c:v>
                </c:pt>
                <c:pt idx="12">
                  <c:v>CDC7_E7</c:v>
                </c:pt>
                <c:pt idx="14">
                  <c:v>UBE2H_236</c:v>
                </c:pt>
                <c:pt idx="15">
                  <c:v>UBE2H_268</c:v>
                </c:pt>
                <c:pt idx="16">
                  <c:v>UBE2H_301</c:v>
                </c:pt>
                <c:pt idx="17">
                  <c:v>UBE2H_917</c:v>
                </c:pt>
              </c:strCache>
            </c:strRef>
          </c:cat>
          <c:val>
            <c:numRef>
              <c:f>'[2]SNU1 c13 Control try4'!$Z$7:$Z$24</c:f>
              <c:numCache>
                <c:formatCode>0.0</c:formatCode>
                <c:ptCount val="18"/>
                <c:pt idx="0">
                  <c:v>1.0680147058823528</c:v>
                </c:pt>
                <c:pt idx="1">
                  <c:v>1.113994045087197</c:v>
                </c:pt>
                <c:pt idx="2">
                  <c:v>1.167883211678832</c:v>
                </c:pt>
                <c:pt idx="3">
                  <c:v>1.0474308300395256</c:v>
                </c:pt>
                <c:pt idx="5">
                  <c:v>8.5096618357487923</c:v>
                </c:pt>
                <c:pt idx="6">
                  <c:v>10.214634146341465</c:v>
                </c:pt>
                <c:pt idx="7">
                  <c:v>1.4056338028169013</c:v>
                </c:pt>
                <c:pt idx="8">
                  <c:v>3.6890034364261166</c:v>
                </c:pt>
                <c:pt idx="9">
                  <c:v>3.5109034267912773</c:v>
                </c:pt>
                <c:pt idx="10">
                  <c:v>12.307692307692307</c:v>
                </c:pt>
                <c:pt idx="11">
                  <c:v>9.117647058823529</c:v>
                </c:pt>
                <c:pt idx="12">
                  <c:v>2.4325842696629212</c:v>
                </c:pt>
                <c:pt idx="14">
                  <c:v>2.4924681344148318</c:v>
                </c:pt>
                <c:pt idx="15">
                  <c:v>2.2977232924693518</c:v>
                </c:pt>
                <c:pt idx="16">
                  <c:v>1.8267667292057537</c:v>
                </c:pt>
                <c:pt idx="17">
                  <c:v>1.5016121602947949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2B-F242-923D-D82970C25D2F}"/>
            </c:ext>
          </c:extLst>
        </c:ser>
        <c:ser>
          <c:idx val="5"/>
          <c:order val="5"/>
          <c:tx>
            <c:strRef>
              <c:f>'[2]SNU1 c13 Control try4'!$AA$6</c:f>
              <c:strCache>
                <c:ptCount val="1"/>
                <c:pt idx="0">
                  <c:v>Day 18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'[2]SNU1 c13 Control try4'!$U$7:$U$24</c:f>
              <c:strCache>
                <c:ptCount val="18"/>
                <c:pt idx="0">
                  <c:v>ROSA_g1</c:v>
                </c:pt>
                <c:pt idx="1">
                  <c:v>AAVS1_277</c:v>
                </c:pt>
                <c:pt idx="2">
                  <c:v>AAVS1 g1</c:v>
                </c:pt>
                <c:pt idx="3">
                  <c:v>AAVS1 g2</c:v>
                </c:pt>
                <c:pt idx="5">
                  <c:v>CDK9_ 44</c:v>
                </c:pt>
                <c:pt idx="6">
                  <c:v>CDK9_771</c:v>
                </c:pt>
                <c:pt idx="7">
                  <c:v>CDK9_774</c:v>
                </c:pt>
                <c:pt idx="8">
                  <c:v>CDK9_913</c:v>
                </c:pt>
                <c:pt idx="9">
                  <c:v>CDC7_E4</c:v>
                </c:pt>
                <c:pt idx="10">
                  <c:v>CDC7_E5</c:v>
                </c:pt>
                <c:pt idx="11">
                  <c:v>CDC7_E6</c:v>
                </c:pt>
                <c:pt idx="12">
                  <c:v>CDC7_E7</c:v>
                </c:pt>
                <c:pt idx="14">
                  <c:v>UBE2H_236</c:v>
                </c:pt>
                <c:pt idx="15">
                  <c:v>UBE2H_268</c:v>
                </c:pt>
                <c:pt idx="16">
                  <c:v>UBE2H_301</c:v>
                </c:pt>
                <c:pt idx="17">
                  <c:v>UBE2H_917</c:v>
                </c:pt>
              </c:strCache>
            </c:strRef>
          </c:cat>
          <c:val>
            <c:numRef>
              <c:f>'[2]SNU1 c13 Control try4'!$AA$7:$AA$24</c:f>
              <c:numCache>
                <c:formatCode>0.0</c:formatCode>
                <c:ptCount val="18"/>
                <c:pt idx="0">
                  <c:v>1.1331058020477813</c:v>
                </c:pt>
                <c:pt idx="1">
                  <c:v>1.2187063750581668</c:v>
                </c:pt>
                <c:pt idx="2">
                  <c:v>1.2711571675302245</c:v>
                </c:pt>
                <c:pt idx="3">
                  <c:v>1.1362940275650844</c:v>
                </c:pt>
                <c:pt idx="5">
                  <c:v>11.98299319727891</c:v>
                </c:pt>
                <c:pt idx="6">
                  <c:v>15.064748201438851</c:v>
                </c:pt>
                <c:pt idx="7">
                  <c:v>2.1203966005665724</c:v>
                </c:pt>
                <c:pt idx="8">
                  <c:v>5.7253333333333334</c:v>
                </c:pt>
                <c:pt idx="9">
                  <c:v>3.9543859649122806</c:v>
                </c:pt>
                <c:pt idx="10">
                  <c:v>13.617021276595745</c:v>
                </c:pt>
                <c:pt idx="11">
                  <c:v>10.148809523809524</c:v>
                </c:pt>
                <c:pt idx="12">
                  <c:v>2.6646153846153848</c:v>
                </c:pt>
                <c:pt idx="14">
                  <c:v>3.3400621118012421</c:v>
                </c:pt>
                <c:pt idx="15">
                  <c:v>3.28</c:v>
                </c:pt>
                <c:pt idx="16">
                  <c:v>2.7401500938086305</c:v>
                </c:pt>
                <c:pt idx="17">
                  <c:v>1.9042056074766356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02B-F242-923D-D82970C25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5574960"/>
        <c:axId val="1085578928"/>
      </c:barChart>
      <c:catAx>
        <c:axId val="108557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578928"/>
        <c:crosses val="autoZero"/>
        <c:auto val="1"/>
        <c:lblAlgn val="ctr"/>
        <c:lblOffset val="100"/>
        <c:noMultiLvlLbl val="0"/>
      </c:catAx>
      <c:valAx>
        <c:axId val="108557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57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SNU1 c24 (Ts1.10.8.14_ Ps5)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'[2]SNU1 c24'!$V$6</c:f>
              <c:strCache>
                <c:ptCount val="1"/>
                <c:pt idx="0">
                  <c:v>Day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'[2]SNU1 c24'!$U$7:$U$24</c:f>
              <c:strCache>
                <c:ptCount val="18"/>
                <c:pt idx="0">
                  <c:v>ROSA_g1</c:v>
                </c:pt>
                <c:pt idx="1">
                  <c:v>AAVS1_277</c:v>
                </c:pt>
                <c:pt idx="2">
                  <c:v>AAVS1 g1</c:v>
                </c:pt>
                <c:pt idx="3">
                  <c:v>AAVS1 g2</c:v>
                </c:pt>
                <c:pt idx="5">
                  <c:v>CDK9_ 44</c:v>
                </c:pt>
                <c:pt idx="6">
                  <c:v>CDK9_771</c:v>
                </c:pt>
                <c:pt idx="7">
                  <c:v>CDK9_774</c:v>
                </c:pt>
                <c:pt idx="8">
                  <c:v>CDK9_913</c:v>
                </c:pt>
                <c:pt idx="9">
                  <c:v>CDC7_E4</c:v>
                </c:pt>
                <c:pt idx="10">
                  <c:v>CDC7_E5</c:v>
                </c:pt>
                <c:pt idx="11">
                  <c:v>CDC7_E6</c:v>
                </c:pt>
                <c:pt idx="12">
                  <c:v>CDC7_E7</c:v>
                </c:pt>
                <c:pt idx="14">
                  <c:v>UBE2H_236</c:v>
                </c:pt>
                <c:pt idx="15">
                  <c:v>UBE2H_268</c:v>
                </c:pt>
                <c:pt idx="16">
                  <c:v>UBE2H_301</c:v>
                </c:pt>
                <c:pt idx="17">
                  <c:v>UBE2H_917</c:v>
                </c:pt>
              </c:strCache>
            </c:strRef>
          </c:cat>
          <c:val>
            <c:numRef>
              <c:f>'[2]SNU1 c24'!$V$7:$V$24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9-F445-921F-1E550ABCFC31}"/>
            </c:ext>
          </c:extLst>
        </c:ser>
        <c:ser>
          <c:idx val="1"/>
          <c:order val="1"/>
          <c:tx>
            <c:strRef>
              <c:f>'[2]SNU1 c24'!$W$6</c:f>
              <c:strCache>
                <c:ptCount val="1"/>
                <c:pt idx="0">
                  <c:v>Day 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'[2]SNU1 c24'!$U$7:$U$24</c:f>
              <c:strCache>
                <c:ptCount val="18"/>
                <c:pt idx="0">
                  <c:v>ROSA_g1</c:v>
                </c:pt>
                <c:pt idx="1">
                  <c:v>AAVS1_277</c:v>
                </c:pt>
                <c:pt idx="2">
                  <c:v>AAVS1 g1</c:v>
                </c:pt>
                <c:pt idx="3">
                  <c:v>AAVS1 g2</c:v>
                </c:pt>
                <c:pt idx="5">
                  <c:v>CDK9_ 44</c:v>
                </c:pt>
                <c:pt idx="6">
                  <c:v>CDK9_771</c:v>
                </c:pt>
                <c:pt idx="7">
                  <c:v>CDK9_774</c:v>
                </c:pt>
                <c:pt idx="8">
                  <c:v>CDK9_913</c:v>
                </c:pt>
                <c:pt idx="9">
                  <c:v>CDC7_E4</c:v>
                </c:pt>
                <c:pt idx="10">
                  <c:v>CDC7_E5</c:v>
                </c:pt>
                <c:pt idx="11">
                  <c:v>CDC7_E6</c:v>
                </c:pt>
                <c:pt idx="12">
                  <c:v>CDC7_E7</c:v>
                </c:pt>
                <c:pt idx="14">
                  <c:v>UBE2H_236</c:v>
                </c:pt>
                <c:pt idx="15">
                  <c:v>UBE2H_268</c:v>
                </c:pt>
                <c:pt idx="16">
                  <c:v>UBE2H_301</c:v>
                </c:pt>
                <c:pt idx="17">
                  <c:v>UBE2H_917</c:v>
                </c:pt>
              </c:strCache>
            </c:strRef>
          </c:cat>
          <c:val>
            <c:numRef>
              <c:f>'[2]SNU1 c24'!$W$7:$W$24</c:f>
              <c:numCache>
                <c:formatCode>0.0</c:formatCode>
                <c:ptCount val="18"/>
                <c:pt idx="0">
                  <c:v>0.83335778201554933</c:v>
                </c:pt>
                <c:pt idx="1">
                  <c:v>0.80671882190520017</c:v>
                </c:pt>
                <c:pt idx="2">
                  <c:v>0.82795507220538411</c:v>
                </c:pt>
                <c:pt idx="3">
                  <c:v>0.80272882319499705</c:v>
                </c:pt>
                <c:pt idx="5">
                  <c:v>0.92092950717404853</c:v>
                </c:pt>
                <c:pt idx="6">
                  <c:v>0.86627785877942109</c:v>
                </c:pt>
                <c:pt idx="7">
                  <c:v>0.80631467232687726</c:v>
                </c:pt>
                <c:pt idx="8">
                  <c:v>0.88346825734980827</c:v>
                </c:pt>
                <c:pt idx="9">
                  <c:v>0.99923195084485406</c:v>
                </c:pt>
                <c:pt idx="10">
                  <c:v>1.0176155220832268</c:v>
                </c:pt>
                <c:pt idx="11">
                  <c:v>0.88740644321509921</c:v>
                </c:pt>
                <c:pt idx="12">
                  <c:v>0.90460194827007057</c:v>
                </c:pt>
                <c:pt idx="14">
                  <c:v>1.023126161470163</c:v>
                </c:pt>
                <c:pt idx="15">
                  <c:v>1.0613048368953881</c:v>
                </c:pt>
                <c:pt idx="16">
                  <c:v>0.94850218781555029</c:v>
                </c:pt>
                <c:pt idx="17">
                  <c:v>1.0455681599692368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69-F445-921F-1E550ABCFC31}"/>
            </c:ext>
          </c:extLst>
        </c:ser>
        <c:ser>
          <c:idx val="2"/>
          <c:order val="2"/>
          <c:tx>
            <c:strRef>
              <c:f>'[2]SNU1 c24'!$X$6</c:f>
              <c:strCache>
                <c:ptCount val="1"/>
                <c:pt idx="0">
                  <c:v>Day 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'[2]SNU1 c24'!$U$7:$U$24</c:f>
              <c:strCache>
                <c:ptCount val="18"/>
                <c:pt idx="0">
                  <c:v>ROSA_g1</c:v>
                </c:pt>
                <c:pt idx="1">
                  <c:v>AAVS1_277</c:v>
                </c:pt>
                <c:pt idx="2">
                  <c:v>AAVS1 g1</c:v>
                </c:pt>
                <c:pt idx="3">
                  <c:v>AAVS1 g2</c:v>
                </c:pt>
                <c:pt idx="5">
                  <c:v>CDK9_ 44</c:v>
                </c:pt>
                <c:pt idx="6">
                  <c:v>CDK9_771</c:v>
                </c:pt>
                <c:pt idx="7">
                  <c:v>CDK9_774</c:v>
                </c:pt>
                <c:pt idx="8">
                  <c:v>CDK9_913</c:v>
                </c:pt>
                <c:pt idx="9">
                  <c:v>CDC7_E4</c:v>
                </c:pt>
                <c:pt idx="10">
                  <c:v>CDC7_E5</c:v>
                </c:pt>
                <c:pt idx="11">
                  <c:v>CDC7_E6</c:v>
                </c:pt>
                <c:pt idx="12">
                  <c:v>CDC7_E7</c:v>
                </c:pt>
                <c:pt idx="14">
                  <c:v>UBE2H_236</c:v>
                </c:pt>
                <c:pt idx="15">
                  <c:v>UBE2H_268</c:v>
                </c:pt>
                <c:pt idx="16">
                  <c:v>UBE2H_301</c:v>
                </c:pt>
                <c:pt idx="17">
                  <c:v>UBE2H_917</c:v>
                </c:pt>
              </c:strCache>
            </c:strRef>
          </c:cat>
          <c:val>
            <c:numRef>
              <c:f>'[2]SNU1 c24'!$X$7:$X$24</c:f>
              <c:numCache>
                <c:formatCode>0.0</c:formatCode>
                <c:ptCount val="18"/>
                <c:pt idx="0">
                  <c:v>0.99075688873386814</c:v>
                </c:pt>
                <c:pt idx="1">
                  <c:v>0.97199889104518999</c:v>
                </c:pt>
                <c:pt idx="2">
                  <c:v>1.0805025593299209</c:v>
                </c:pt>
                <c:pt idx="3">
                  <c:v>1.1132720105124836</c:v>
                </c:pt>
                <c:pt idx="5">
                  <c:v>1.1247619047619046</c:v>
                </c:pt>
                <c:pt idx="6">
                  <c:v>1.0732903225806452</c:v>
                </c:pt>
                <c:pt idx="7">
                  <c:v>1.0277308082516063</c:v>
                </c:pt>
                <c:pt idx="8">
                  <c:v>1.1774559909142532</c:v>
                </c:pt>
                <c:pt idx="9">
                  <c:v>1.9118295371050698</c:v>
                </c:pt>
                <c:pt idx="10">
                  <c:v>2.1901098901098903</c:v>
                </c:pt>
                <c:pt idx="11">
                  <c:v>1.6319569120287252</c:v>
                </c:pt>
                <c:pt idx="12">
                  <c:v>1.431685273790537</c:v>
                </c:pt>
                <c:pt idx="14">
                  <c:v>1.4173340961098397</c:v>
                </c:pt>
                <c:pt idx="15">
                  <c:v>1.3921062338620436</c:v>
                </c:pt>
                <c:pt idx="16">
                  <c:v>1.4107634543178973</c:v>
                </c:pt>
                <c:pt idx="17">
                  <c:v>1.3728856349406717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69-F445-921F-1E550ABCFC31}"/>
            </c:ext>
          </c:extLst>
        </c:ser>
        <c:ser>
          <c:idx val="3"/>
          <c:order val="3"/>
          <c:tx>
            <c:strRef>
              <c:f>'[2]SNU1 c24'!$Y$6</c:f>
              <c:strCache>
                <c:ptCount val="1"/>
                <c:pt idx="0">
                  <c:v>Day 12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'[2]SNU1 c24'!$U$7:$U$24</c:f>
              <c:strCache>
                <c:ptCount val="18"/>
                <c:pt idx="0">
                  <c:v>ROSA_g1</c:v>
                </c:pt>
                <c:pt idx="1">
                  <c:v>AAVS1_277</c:v>
                </c:pt>
                <c:pt idx="2">
                  <c:v>AAVS1 g1</c:v>
                </c:pt>
                <c:pt idx="3">
                  <c:v>AAVS1 g2</c:v>
                </c:pt>
                <c:pt idx="5">
                  <c:v>CDK9_ 44</c:v>
                </c:pt>
                <c:pt idx="6">
                  <c:v>CDK9_771</c:v>
                </c:pt>
                <c:pt idx="7">
                  <c:v>CDK9_774</c:v>
                </c:pt>
                <c:pt idx="8">
                  <c:v>CDK9_913</c:v>
                </c:pt>
                <c:pt idx="9">
                  <c:v>CDC7_E4</c:v>
                </c:pt>
                <c:pt idx="10">
                  <c:v>CDC7_E5</c:v>
                </c:pt>
                <c:pt idx="11">
                  <c:v>CDC7_E6</c:v>
                </c:pt>
                <c:pt idx="12">
                  <c:v>CDC7_E7</c:v>
                </c:pt>
                <c:pt idx="14">
                  <c:v>UBE2H_236</c:v>
                </c:pt>
                <c:pt idx="15">
                  <c:v>UBE2H_268</c:v>
                </c:pt>
                <c:pt idx="16">
                  <c:v>UBE2H_301</c:v>
                </c:pt>
                <c:pt idx="17">
                  <c:v>UBE2H_917</c:v>
                </c:pt>
              </c:strCache>
            </c:strRef>
          </c:cat>
          <c:val>
            <c:numRef>
              <c:f>'[2]SNU1 c24'!$Y$7:$Y$24</c:f>
              <c:numCache>
                <c:formatCode>0.0</c:formatCode>
                <c:ptCount val="18"/>
                <c:pt idx="0">
                  <c:v>0.97527896995708163</c:v>
                </c:pt>
                <c:pt idx="1">
                  <c:v>0.9920769666100735</c:v>
                </c:pt>
                <c:pt idx="2">
                  <c:v>0.99571183533447682</c:v>
                </c:pt>
                <c:pt idx="3">
                  <c:v>0.96207131501249143</c:v>
                </c:pt>
                <c:pt idx="5">
                  <c:v>1.7408608490566035</c:v>
                </c:pt>
                <c:pt idx="6">
                  <c:v>1.7101151315789476</c:v>
                </c:pt>
                <c:pt idx="7">
                  <c:v>1.2040412044374011</c:v>
                </c:pt>
                <c:pt idx="8">
                  <c:v>1.6017767477790652</c:v>
                </c:pt>
                <c:pt idx="9">
                  <c:v>2.9219539584503091</c:v>
                </c:pt>
                <c:pt idx="10">
                  <c:v>3.6269335759781618</c:v>
                </c:pt>
                <c:pt idx="11">
                  <c:v>2.2537190082644627</c:v>
                </c:pt>
                <c:pt idx="12">
                  <c:v>1.9948148148148148</c:v>
                </c:pt>
                <c:pt idx="14">
                  <c:v>2.2339945897204689</c:v>
                </c:pt>
                <c:pt idx="15">
                  <c:v>2.1727115716753023</c:v>
                </c:pt>
                <c:pt idx="16">
                  <c:v>1.5294436906377205</c:v>
                </c:pt>
                <c:pt idx="17">
                  <c:v>1.660965180207697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69-F445-921F-1E550ABCFC31}"/>
            </c:ext>
          </c:extLst>
        </c:ser>
        <c:ser>
          <c:idx val="4"/>
          <c:order val="4"/>
          <c:tx>
            <c:strRef>
              <c:f>'[2]SNU1 c24'!$Z$6</c:f>
              <c:strCache>
                <c:ptCount val="1"/>
                <c:pt idx="0">
                  <c:v>Day 15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'[2]SNU1 c24'!$U$7:$U$24</c:f>
              <c:strCache>
                <c:ptCount val="18"/>
                <c:pt idx="0">
                  <c:v>ROSA_g1</c:v>
                </c:pt>
                <c:pt idx="1">
                  <c:v>AAVS1_277</c:v>
                </c:pt>
                <c:pt idx="2">
                  <c:v>AAVS1 g1</c:v>
                </c:pt>
                <c:pt idx="3">
                  <c:v>AAVS1 g2</c:v>
                </c:pt>
                <c:pt idx="5">
                  <c:v>CDK9_ 44</c:v>
                </c:pt>
                <c:pt idx="6">
                  <c:v>CDK9_771</c:v>
                </c:pt>
                <c:pt idx="7">
                  <c:v>CDK9_774</c:v>
                </c:pt>
                <c:pt idx="8">
                  <c:v>CDK9_913</c:v>
                </c:pt>
                <c:pt idx="9">
                  <c:v>CDC7_E4</c:v>
                </c:pt>
                <c:pt idx="10">
                  <c:v>CDC7_E5</c:v>
                </c:pt>
                <c:pt idx="11">
                  <c:v>CDC7_E6</c:v>
                </c:pt>
                <c:pt idx="12">
                  <c:v>CDC7_E7</c:v>
                </c:pt>
                <c:pt idx="14">
                  <c:v>UBE2H_236</c:v>
                </c:pt>
                <c:pt idx="15">
                  <c:v>UBE2H_268</c:v>
                </c:pt>
                <c:pt idx="16">
                  <c:v>UBE2H_301</c:v>
                </c:pt>
                <c:pt idx="17">
                  <c:v>UBE2H_917</c:v>
                </c:pt>
              </c:strCache>
            </c:strRef>
          </c:cat>
          <c:val>
            <c:numRef>
              <c:f>'[2]SNU1 c24'!$Z$7:$Z$24</c:f>
              <c:numCache>
                <c:formatCode>0.0</c:formatCode>
                <c:ptCount val="18"/>
                <c:pt idx="0">
                  <c:v>1.0325336241366776</c:v>
                </c:pt>
                <c:pt idx="1">
                  <c:v>1.0394307737918769</c:v>
                </c:pt>
                <c:pt idx="2">
                  <c:v>1.0583409298085686</c:v>
                </c:pt>
                <c:pt idx="3">
                  <c:v>0.98055555555555551</c:v>
                </c:pt>
                <c:pt idx="5">
                  <c:v>2.7658079625292737</c:v>
                </c:pt>
                <c:pt idx="6">
                  <c:v>2.9559346126510309</c:v>
                </c:pt>
                <c:pt idx="7">
                  <c:v>1.4069444444444443</c:v>
                </c:pt>
                <c:pt idx="8">
                  <c:v>1.9985542168674699</c:v>
                </c:pt>
                <c:pt idx="9">
                  <c:v>3.7251252684323548</c:v>
                </c:pt>
                <c:pt idx="10">
                  <c:v>5.3217623497997328</c:v>
                </c:pt>
                <c:pt idx="11">
                  <c:v>3.0066152149944871</c:v>
                </c:pt>
                <c:pt idx="12">
                  <c:v>2.2725738396624471</c:v>
                </c:pt>
                <c:pt idx="14">
                  <c:v>3.8351393188854486</c:v>
                </c:pt>
                <c:pt idx="15">
                  <c:v>3.126760563380282</c:v>
                </c:pt>
                <c:pt idx="16">
                  <c:v>2.1569077688480673</c:v>
                </c:pt>
                <c:pt idx="17">
                  <c:v>2.0118386977432481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69-F445-921F-1E550ABCFC31}"/>
            </c:ext>
          </c:extLst>
        </c:ser>
        <c:ser>
          <c:idx val="5"/>
          <c:order val="5"/>
          <c:tx>
            <c:strRef>
              <c:f>'[2]SNU1 c24'!$AA$6</c:f>
              <c:strCache>
                <c:ptCount val="1"/>
                <c:pt idx="0">
                  <c:v>Day 18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'[2]SNU1 c24'!$U$7:$U$24</c:f>
              <c:strCache>
                <c:ptCount val="18"/>
                <c:pt idx="0">
                  <c:v>ROSA_g1</c:v>
                </c:pt>
                <c:pt idx="1">
                  <c:v>AAVS1_277</c:v>
                </c:pt>
                <c:pt idx="2">
                  <c:v>AAVS1 g1</c:v>
                </c:pt>
                <c:pt idx="3">
                  <c:v>AAVS1 g2</c:v>
                </c:pt>
                <c:pt idx="5">
                  <c:v>CDK9_ 44</c:v>
                </c:pt>
                <c:pt idx="6">
                  <c:v>CDK9_771</c:v>
                </c:pt>
                <c:pt idx="7">
                  <c:v>CDK9_774</c:v>
                </c:pt>
                <c:pt idx="8">
                  <c:v>CDK9_913</c:v>
                </c:pt>
                <c:pt idx="9">
                  <c:v>CDC7_E4</c:v>
                </c:pt>
                <c:pt idx="10">
                  <c:v>CDC7_E5</c:v>
                </c:pt>
                <c:pt idx="11">
                  <c:v>CDC7_E6</c:v>
                </c:pt>
                <c:pt idx="12">
                  <c:v>CDC7_E7</c:v>
                </c:pt>
                <c:pt idx="14">
                  <c:v>UBE2H_236</c:v>
                </c:pt>
                <c:pt idx="15">
                  <c:v>UBE2H_268</c:v>
                </c:pt>
                <c:pt idx="16">
                  <c:v>UBE2H_301</c:v>
                </c:pt>
                <c:pt idx="17">
                  <c:v>UBE2H_917</c:v>
                </c:pt>
              </c:strCache>
            </c:strRef>
          </c:cat>
          <c:val>
            <c:numRef>
              <c:f>'[2]SNU1 c24'!$AA$7:$AA$24</c:f>
              <c:numCache>
                <c:formatCode>0.0</c:formatCode>
                <c:ptCount val="18"/>
                <c:pt idx="0">
                  <c:v>1.0941833590138674</c:v>
                </c:pt>
                <c:pt idx="1">
                  <c:v>1.0797659377887281</c:v>
                </c:pt>
                <c:pt idx="2">
                  <c:v>1.1444061113849187</c:v>
                </c:pt>
                <c:pt idx="3">
                  <c:v>1.0234356124667794</c:v>
                </c:pt>
                <c:pt idx="5">
                  <c:v>4.2635379061371843</c:v>
                </c:pt>
                <c:pt idx="6">
                  <c:v>4.615982241953386</c:v>
                </c:pt>
                <c:pt idx="7">
                  <c:v>1.6588427947598254</c:v>
                </c:pt>
                <c:pt idx="8">
                  <c:v>2.6180555555555554</c:v>
                </c:pt>
                <c:pt idx="9">
                  <c:v>4.1799196787148594</c:v>
                </c:pt>
                <c:pt idx="10">
                  <c:v>7.1561938958707358</c:v>
                </c:pt>
                <c:pt idx="11">
                  <c:v>3.8626062322946177</c:v>
                </c:pt>
                <c:pt idx="12">
                  <c:v>2.5526066350710899</c:v>
                </c:pt>
                <c:pt idx="14">
                  <c:v>5.4630650496141122</c:v>
                </c:pt>
                <c:pt idx="15">
                  <c:v>4.0537056928034367</c:v>
                </c:pt>
                <c:pt idx="16">
                  <c:v>2.7600391772771791</c:v>
                </c:pt>
                <c:pt idx="17">
                  <c:v>2.3551320918146383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169-F445-921F-1E550ABCF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7156608"/>
        <c:axId val="1497332224"/>
      </c:barChart>
      <c:catAx>
        <c:axId val="149715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332224"/>
        <c:crosses val="autoZero"/>
        <c:auto val="1"/>
        <c:lblAlgn val="ctr"/>
        <c:lblOffset val="100"/>
        <c:noMultiLvlLbl val="0"/>
      </c:catAx>
      <c:valAx>
        <c:axId val="149733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15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SNU1 c24 (Ts1.10.8.14_ Ps5)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'[2]SNU1 c24'!$V$6</c:f>
              <c:strCache>
                <c:ptCount val="1"/>
                <c:pt idx="0">
                  <c:v>Day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'[2]SNU1 c24'!$U$7:$U$24</c:f>
              <c:strCache>
                <c:ptCount val="18"/>
                <c:pt idx="0">
                  <c:v>ROSA_g1</c:v>
                </c:pt>
                <c:pt idx="1">
                  <c:v>AAVS1_277</c:v>
                </c:pt>
                <c:pt idx="2">
                  <c:v>AAVS1 g1</c:v>
                </c:pt>
                <c:pt idx="3">
                  <c:v>AAVS1 g2</c:v>
                </c:pt>
                <c:pt idx="5">
                  <c:v>CDK9_ 44</c:v>
                </c:pt>
                <c:pt idx="6">
                  <c:v>CDK9_771</c:v>
                </c:pt>
                <c:pt idx="7">
                  <c:v>CDK9_774</c:v>
                </c:pt>
                <c:pt idx="8">
                  <c:v>CDK9_913</c:v>
                </c:pt>
                <c:pt idx="9">
                  <c:v>CDC7_E4</c:v>
                </c:pt>
                <c:pt idx="10">
                  <c:v>CDC7_E5</c:v>
                </c:pt>
                <c:pt idx="11">
                  <c:v>CDC7_E6</c:v>
                </c:pt>
                <c:pt idx="12">
                  <c:v>CDC7_E7</c:v>
                </c:pt>
                <c:pt idx="14">
                  <c:v>UBE2H_236</c:v>
                </c:pt>
                <c:pt idx="15">
                  <c:v>UBE2H_268</c:v>
                </c:pt>
                <c:pt idx="16">
                  <c:v>UBE2H_301</c:v>
                </c:pt>
                <c:pt idx="17">
                  <c:v>UBE2H_917</c:v>
                </c:pt>
              </c:strCache>
            </c:strRef>
          </c:cat>
          <c:val>
            <c:numRef>
              <c:f>'[2]SNU1 c24'!$V$7:$V$24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3-C742-B884-E709A798BF5A}"/>
            </c:ext>
          </c:extLst>
        </c:ser>
        <c:ser>
          <c:idx val="1"/>
          <c:order val="1"/>
          <c:tx>
            <c:strRef>
              <c:f>'[2]SNU1 c24'!$W$6</c:f>
              <c:strCache>
                <c:ptCount val="1"/>
                <c:pt idx="0">
                  <c:v>Day 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'[2]SNU1 c24'!$U$7:$U$24</c:f>
              <c:strCache>
                <c:ptCount val="18"/>
                <c:pt idx="0">
                  <c:v>ROSA_g1</c:v>
                </c:pt>
                <c:pt idx="1">
                  <c:v>AAVS1_277</c:v>
                </c:pt>
                <c:pt idx="2">
                  <c:v>AAVS1 g1</c:v>
                </c:pt>
                <c:pt idx="3">
                  <c:v>AAVS1 g2</c:v>
                </c:pt>
                <c:pt idx="5">
                  <c:v>CDK9_ 44</c:v>
                </c:pt>
                <c:pt idx="6">
                  <c:v>CDK9_771</c:v>
                </c:pt>
                <c:pt idx="7">
                  <c:v>CDK9_774</c:v>
                </c:pt>
                <c:pt idx="8">
                  <c:v>CDK9_913</c:v>
                </c:pt>
                <c:pt idx="9">
                  <c:v>CDC7_E4</c:v>
                </c:pt>
                <c:pt idx="10">
                  <c:v>CDC7_E5</c:v>
                </c:pt>
                <c:pt idx="11">
                  <c:v>CDC7_E6</c:v>
                </c:pt>
                <c:pt idx="12">
                  <c:v>CDC7_E7</c:v>
                </c:pt>
                <c:pt idx="14">
                  <c:v>UBE2H_236</c:v>
                </c:pt>
                <c:pt idx="15">
                  <c:v>UBE2H_268</c:v>
                </c:pt>
                <c:pt idx="16">
                  <c:v>UBE2H_301</c:v>
                </c:pt>
                <c:pt idx="17">
                  <c:v>UBE2H_917</c:v>
                </c:pt>
              </c:strCache>
            </c:strRef>
          </c:cat>
          <c:val>
            <c:numRef>
              <c:f>'[2]SNU1 c24'!$W$7:$W$24</c:f>
              <c:numCache>
                <c:formatCode>0.0</c:formatCode>
                <c:ptCount val="18"/>
                <c:pt idx="0">
                  <c:v>0.83335778201554933</c:v>
                </c:pt>
                <c:pt idx="1">
                  <c:v>0.80671882190520017</c:v>
                </c:pt>
                <c:pt idx="2">
                  <c:v>0.82795507220538411</c:v>
                </c:pt>
                <c:pt idx="3">
                  <c:v>0.80272882319499705</c:v>
                </c:pt>
                <c:pt idx="5">
                  <c:v>0.92092950717404853</c:v>
                </c:pt>
                <c:pt idx="6">
                  <c:v>0.86627785877942109</c:v>
                </c:pt>
                <c:pt idx="7">
                  <c:v>0.80631467232687726</c:v>
                </c:pt>
                <c:pt idx="8">
                  <c:v>0.88346825734980827</c:v>
                </c:pt>
                <c:pt idx="9">
                  <c:v>0.99923195084485406</c:v>
                </c:pt>
                <c:pt idx="10">
                  <c:v>1.0176155220832268</c:v>
                </c:pt>
                <c:pt idx="11">
                  <c:v>0.88740644321509921</c:v>
                </c:pt>
                <c:pt idx="12">
                  <c:v>0.90460194827007057</c:v>
                </c:pt>
                <c:pt idx="14">
                  <c:v>1.023126161470163</c:v>
                </c:pt>
                <c:pt idx="15">
                  <c:v>1.0613048368953881</c:v>
                </c:pt>
                <c:pt idx="16">
                  <c:v>0.94850218781555029</c:v>
                </c:pt>
                <c:pt idx="17">
                  <c:v>1.0455681599692368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63-C742-B884-E709A798BF5A}"/>
            </c:ext>
          </c:extLst>
        </c:ser>
        <c:ser>
          <c:idx val="2"/>
          <c:order val="2"/>
          <c:tx>
            <c:strRef>
              <c:f>'[2]SNU1 c24'!$X$6</c:f>
              <c:strCache>
                <c:ptCount val="1"/>
                <c:pt idx="0">
                  <c:v>Day 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'[2]SNU1 c24'!$U$7:$U$24</c:f>
              <c:strCache>
                <c:ptCount val="18"/>
                <c:pt idx="0">
                  <c:v>ROSA_g1</c:v>
                </c:pt>
                <c:pt idx="1">
                  <c:v>AAVS1_277</c:v>
                </c:pt>
                <c:pt idx="2">
                  <c:v>AAVS1 g1</c:v>
                </c:pt>
                <c:pt idx="3">
                  <c:v>AAVS1 g2</c:v>
                </c:pt>
                <c:pt idx="5">
                  <c:v>CDK9_ 44</c:v>
                </c:pt>
                <c:pt idx="6">
                  <c:v>CDK9_771</c:v>
                </c:pt>
                <c:pt idx="7">
                  <c:v>CDK9_774</c:v>
                </c:pt>
                <c:pt idx="8">
                  <c:v>CDK9_913</c:v>
                </c:pt>
                <c:pt idx="9">
                  <c:v>CDC7_E4</c:v>
                </c:pt>
                <c:pt idx="10">
                  <c:v>CDC7_E5</c:v>
                </c:pt>
                <c:pt idx="11">
                  <c:v>CDC7_E6</c:v>
                </c:pt>
                <c:pt idx="12">
                  <c:v>CDC7_E7</c:v>
                </c:pt>
                <c:pt idx="14">
                  <c:v>UBE2H_236</c:v>
                </c:pt>
                <c:pt idx="15">
                  <c:v>UBE2H_268</c:v>
                </c:pt>
                <c:pt idx="16">
                  <c:v>UBE2H_301</c:v>
                </c:pt>
                <c:pt idx="17">
                  <c:v>UBE2H_917</c:v>
                </c:pt>
              </c:strCache>
            </c:strRef>
          </c:cat>
          <c:val>
            <c:numRef>
              <c:f>'[2]SNU1 c24'!$X$7:$X$24</c:f>
              <c:numCache>
                <c:formatCode>0.0</c:formatCode>
                <c:ptCount val="18"/>
                <c:pt idx="0">
                  <c:v>0.99075688873386814</c:v>
                </c:pt>
                <c:pt idx="1">
                  <c:v>0.97199889104518999</c:v>
                </c:pt>
                <c:pt idx="2">
                  <c:v>1.0805025593299209</c:v>
                </c:pt>
                <c:pt idx="3">
                  <c:v>1.1132720105124836</c:v>
                </c:pt>
                <c:pt idx="5">
                  <c:v>1.1247619047619046</c:v>
                </c:pt>
                <c:pt idx="6">
                  <c:v>1.0732903225806452</c:v>
                </c:pt>
                <c:pt idx="7">
                  <c:v>1.0277308082516063</c:v>
                </c:pt>
                <c:pt idx="8">
                  <c:v>1.1774559909142532</c:v>
                </c:pt>
                <c:pt idx="9">
                  <c:v>1.9118295371050698</c:v>
                </c:pt>
                <c:pt idx="10">
                  <c:v>2.1901098901098903</c:v>
                </c:pt>
                <c:pt idx="11">
                  <c:v>1.6319569120287252</c:v>
                </c:pt>
                <c:pt idx="12">
                  <c:v>1.431685273790537</c:v>
                </c:pt>
                <c:pt idx="14">
                  <c:v>1.4173340961098397</c:v>
                </c:pt>
                <c:pt idx="15">
                  <c:v>1.3921062338620436</c:v>
                </c:pt>
                <c:pt idx="16">
                  <c:v>1.4107634543178973</c:v>
                </c:pt>
                <c:pt idx="17">
                  <c:v>1.3728856349406717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63-C742-B884-E709A798BF5A}"/>
            </c:ext>
          </c:extLst>
        </c:ser>
        <c:ser>
          <c:idx val="3"/>
          <c:order val="3"/>
          <c:tx>
            <c:strRef>
              <c:f>'[2]SNU1 c24'!$Y$6</c:f>
              <c:strCache>
                <c:ptCount val="1"/>
                <c:pt idx="0">
                  <c:v>Day 12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'[2]SNU1 c24'!$U$7:$U$24</c:f>
              <c:strCache>
                <c:ptCount val="18"/>
                <c:pt idx="0">
                  <c:v>ROSA_g1</c:v>
                </c:pt>
                <c:pt idx="1">
                  <c:v>AAVS1_277</c:v>
                </c:pt>
                <c:pt idx="2">
                  <c:v>AAVS1 g1</c:v>
                </c:pt>
                <c:pt idx="3">
                  <c:v>AAVS1 g2</c:v>
                </c:pt>
                <c:pt idx="5">
                  <c:v>CDK9_ 44</c:v>
                </c:pt>
                <c:pt idx="6">
                  <c:v>CDK9_771</c:v>
                </c:pt>
                <c:pt idx="7">
                  <c:v>CDK9_774</c:v>
                </c:pt>
                <c:pt idx="8">
                  <c:v>CDK9_913</c:v>
                </c:pt>
                <c:pt idx="9">
                  <c:v>CDC7_E4</c:v>
                </c:pt>
                <c:pt idx="10">
                  <c:v>CDC7_E5</c:v>
                </c:pt>
                <c:pt idx="11">
                  <c:v>CDC7_E6</c:v>
                </c:pt>
                <c:pt idx="12">
                  <c:v>CDC7_E7</c:v>
                </c:pt>
                <c:pt idx="14">
                  <c:v>UBE2H_236</c:v>
                </c:pt>
                <c:pt idx="15">
                  <c:v>UBE2H_268</c:v>
                </c:pt>
                <c:pt idx="16">
                  <c:v>UBE2H_301</c:v>
                </c:pt>
                <c:pt idx="17">
                  <c:v>UBE2H_917</c:v>
                </c:pt>
              </c:strCache>
            </c:strRef>
          </c:cat>
          <c:val>
            <c:numRef>
              <c:f>'[2]SNU1 c24'!$Y$7:$Y$24</c:f>
              <c:numCache>
                <c:formatCode>0.0</c:formatCode>
                <c:ptCount val="18"/>
                <c:pt idx="0">
                  <c:v>0.97527896995708163</c:v>
                </c:pt>
                <c:pt idx="1">
                  <c:v>0.9920769666100735</c:v>
                </c:pt>
                <c:pt idx="2">
                  <c:v>0.99571183533447682</c:v>
                </c:pt>
                <c:pt idx="3">
                  <c:v>0.96207131501249143</c:v>
                </c:pt>
                <c:pt idx="5">
                  <c:v>1.7408608490566035</c:v>
                </c:pt>
                <c:pt idx="6">
                  <c:v>1.7101151315789476</c:v>
                </c:pt>
                <c:pt idx="7">
                  <c:v>1.2040412044374011</c:v>
                </c:pt>
                <c:pt idx="8">
                  <c:v>1.6017767477790652</c:v>
                </c:pt>
                <c:pt idx="9">
                  <c:v>2.9219539584503091</c:v>
                </c:pt>
                <c:pt idx="10">
                  <c:v>3.6269335759781618</c:v>
                </c:pt>
                <c:pt idx="11">
                  <c:v>2.2537190082644627</c:v>
                </c:pt>
                <c:pt idx="12">
                  <c:v>1.9948148148148148</c:v>
                </c:pt>
                <c:pt idx="14">
                  <c:v>2.2339945897204689</c:v>
                </c:pt>
                <c:pt idx="15">
                  <c:v>2.1727115716753023</c:v>
                </c:pt>
                <c:pt idx="16">
                  <c:v>1.5294436906377205</c:v>
                </c:pt>
                <c:pt idx="17">
                  <c:v>1.660965180207697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63-C742-B884-E709A798BF5A}"/>
            </c:ext>
          </c:extLst>
        </c:ser>
        <c:ser>
          <c:idx val="4"/>
          <c:order val="4"/>
          <c:tx>
            <c:strRef>
              <c:f>'[2]SNU1 c24'!$Z$6</c:f>
              <c:strCache>
                <c:ptCount val="1"/>
                <c:pt idx="0">
                  <c:v>Day 15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'[2]SNU1 c24'!$U$7:$U$24</c:f>
              <c:strCache>
                <c:ptCount val="18"/>
                <c:pt idx="0">
                  <c:v>ROSA_g1</c:v>
                </c:pt>
                <c:pt idx="1">
                  <c:v>AAVS1_277</c:v>
                </c:pt>
                <c:pt idx="2">
                  <c:v>AAVS1 g1</c:v>
                </c:pt>
                <c:pt idx="3">
                  <c:v>AAVS1 g2</c:v>
                </c:pt>
                <c:pt idx="5">
                  <c:v>CDK9_ 44</c:v>
                </c:pt>
                <c:pt idx="6">
                  <c:v>CDK9_771</c:v>
                </c:pt>
                <c:pt idx="7">
                  <c:v>CDK9_774</c:v>
                </c:pt>
                <c:pt idx="8">
                  <c:v>CDK9_913</c:v>
                </c:pt>
                <c:pt idx="9">
                  <c:v>CDC7_E4</c:v>
                </c:pt>
                <c:pt idx="10">
                  <c:v>CDC7_E5</c:v>
                </c:pt>
                <c:pt idx="11">
                  <c:v>CDC7_E6</c:v>
                </c:pt>
                <c:pt idx="12">
                  <c:v>CDC7_E7</c:v>
                </c:pt>
                <c:pt idx="14">
                  <c:v>UBE2H_236</c:v>
                </c:pt>
                <c:pt idx="15">
                  <c:v>UBE2H_268</c:v>
                </c:pt>
                <c:pt idx="16">
                  <c:v>UBE2H_301</c:v>
                </c:pt>
                <c:pt idx="17">
                  <c:v>UBE2H_917</c:v>
                </c:pt>
              </c:strCache>
            </c:strRef>
          </c:cat>
          <c:val>
            <c:numRef>
              <c:f>'[2]SNU1 c24'!$Z$7:$Z$24</c:f>
              <c:numCache>
                <c:formatCode>0.0</c:formatCode>
                <c:ptCount val="18"/>
                <c:pt idx="0">
                  <c:v>1.0325336241366776</c:v>
                </c:pt>
                <c:pt idx="1">
                  <c:v>1.0394307737918769</c:v>
                </c:pt>
                <c:pt idx="2">
                  <c:v>1.0583409298085686</c:v>
                </c:pt>
                <c:pt idx="3">
                  <c:v>0.98055555555555551</c:v>
                </c:pt>
                <c:pt idx="5">
                  <c:v>2.7658079625292737</c:v>
                </c:pt>
                <c:pt idx="6">
                  <c:v>2.9559346126510309</c:v>
                </c:pt>
                <c:pt idx="7">
                  <c:v>1.4069444444444443</c:v>
                </c:pt>
                <c:pt idx="8">
                  <c:v>1.9985542168674699</c:v>
                </c:pt>
                <c:pt idx="9">
                  <c:v>3.7251252684323548</c:v>
                </c:pt>
                <c:pt idx="10">
                  <c:v>5.3217623497997328</c:v>
                </c:pt>
                <c:pt idx="11">
                  <c:v>3.0066152149944871</c:v>
                </c:pt>
                <c:pt idx="12">
                  <c:v>2.2725738396624471</c:v>
                </c:pt>
                <c:pt idx="14">
                  <c:v>3.8351393188854486</c:v>
                </c:pt>
                <c:pt idx="15">
                  <c:v>3.126760563380282</c:v>
                </c:pt>
                <c:pt idx="16">
                  <c:v>2.1569077688480673</c:v>
                </c:pt>
                <c:pt idx="17">
                  <c:v>2.0118386977432481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63-C742-B884-E709A798BF5A}"/>
            </c:ext>
          </c:extLst>
        </c:ser>
        <c:ser>
          <c:idx val="5"/>
          <c:order val="5"/>
          <c:tx>
            <c:strRef>
              <c:f>'[2]SNU1 c24'!$AA$6</c:f>
              <c:strCache>
                <c:ptCount val="1"/>
                <c:pt idx="0">
                  <c:v>Day 18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'[2]SNU1 c24'!$U$7:$U$24</c:f>
              <c:strCache>
                <c:ptCount val="18"/>
                <c:pt idx="0">
                  <c:v>ROSA_g1</c:v>
                </c:pt>
                <c:pt idx="1">
                  <c:v>AAVS1_277</c:v>
                </c:pt>
                <c:pt idx="2">
                  <c:v>AAVS1 g1</c:v>
                </c:pt>
                <c:pt idx="3">
                  <c:v>AAVS1 g2</c:v>
                </c:pt>
                <c:pt idx="5">
                  <c:v>CDK9_ 44</c:v>
                </c:pt>
                <c:pt idx="6">
                  <c:v>CDK9_771</c:v>
                </c:pt>
                <c:pt idx="7">
                  <c:v>CDK9_774</c:v>
                </c:pt>
                <c:pt idx="8">
                  <c:v>CDK9_913</c:v>
                </c:pt>
                <c:pt idx="9">
                  <c:v>CDC7_E4</c:v>
                </c:pt>
                <c:pt idx="10">
                  <c:v>CDC7_E5</c:v>
                </c:pt>
                <c:pt idx="11">
                  <c:v>CDC7_E6</c:v>
                </c:pt>
                <c:pt idx="12">
                  <c:v>CDC7_E7</c:v>
                </c:pt>
                <c:pt idx="14">
                  <c:v>UBE2H_236</c:v>
                </c:pt>
                <c:pt idx="15">
                  <c:v>UBE2H_268</c:v>
                </c:pt>
                <c:pt idx="16">
                  <c:v>UBE2H_301</c:v>
                </c:pt>
                <c:pt idx="17">
                  <c:v>UBE2H_917</c:v>
                </c:pt>
              </c:strCache>
            </c:strRef>
          </c:cat>
          <c:val>
            <c:numRef>
              <c:f>'[2]SNU1 c24'!$AA$7:$AA$24</c:f>
              <c:numCache>
                <c:formatCode>0.0</c:formatCode>
                <c:ptCount val="18"/>
                <c:pt idx="0">
                  <c:v>1.0941833590138674</c:v>
                </c:pt>
                <c:pt idx="1">
                  <c:v>1.0797659377887281</c:v>
                </c:pt>
                <c:pt idx="2">
                  <c:v>1.1444061113849187</c:v>
                </c:pt>
                <c:pt idx="3">
                  <c:v>1.0234356124667794</c:v>
                </c:pt>
                <c:pt idx="5">
                  <c:v>4.2635379061371843</c:v>
                </c:pt>
                <c:pt idx="6">
                  <c:v>4.615982241953386</c:v>
                </c:pt>
                <c:pt idx="7">
                  <c:v>1.6588427947598254</c:v>
                </c:pt>
                <c:pt idx="8">
                  <c:v>2.6180555555555554</c:v>
                </c:pt>
                <c:pt idx="9">
                  <c:v>4.1799196787148594</c:v>
                </c:pt>
                <c:pt idx="10">
                  <c:v>7.1561938958707358</c:v>
                </c:pt>
                <c:pt idx="11">
                  <c:v>3.8626062322946177</c:v>
                </c:pt>
                <c:pt idx="12">
                  <c:v>2.5526066350710899</c:v>
                </c:pt>
                <c:pt idx="14">
                  <c:v>5.4630650496141122</c:v>
                </c:pt>
                <c:pt idx="15">
                  <c:v>4.0537056928034367</c:v>
                </c:pt>
                <c:pt idx="16">
                  <c:v>2.7600391772771791</c:v>
                </c:pt>
                <c:pt idx="17">
                  <c:v>2.3551320918146383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63-C742-B884-E709A798B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7156608"/>
        <c:axId val="1497332224"/>
      </c:barChart>
      <c:catAx>
        <c:axId val="149715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332224"/>
        <c:crosses val="autoZero"/>
        <c:auto val="1"/>
        <c:lblAlgn val="ctr"/>
        <c:lblOffset val="100"/>
        <c:noMultiLvlLbl val="0"/>
      </c:catAx>
      <c:valAx>
        <c:axId val="149733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15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SNU1 c114 (Ts9.19)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'[2]SNU1 c114'!$V$6</c:f>
              <c:strCache>
                <c:ptCount val="1"/>
                <c:pt idx="0">
                  <c:v>Day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'[2]SNU1 c114'!$U$7:$U$24</c:f>
              <c:strCache>
                <c:ptCount val="18"/>
                <c:pt idx="0">
                  <c:v>ROSA_g1</c:v>
                </c:pt>
                <c:pt idx="1">
                  <c:v>AAVS1_277</c:v>
                </c:pt>
                <c:pt idx="2">
                  <c:v>AAVS1 g1</c:v>
                </c:pt>
                <c:pt idx="3">
                  <c:v>AAVS1 g2</c:v>
                </c:pt>
                <c:pt idx="5">
                  <c:v>CDK9_ 44</c:v>
                </c:pt>
                <c:pt idx="6">
                  <c:v>CDK9_771</c:v>
                </c:pt>
                <c:pt idx="7">
                  <c:v>CDK9_774</c:v>
                </c:pt>
                <c:pt idx="8">
                  <c:v>CDK9_913</c:v>
                </c:pt>
                <c:pt idx="9">
                  <c:v>CDC7_E4</c:v>
                </c:pt>
                <c:pt idx="10">
                  <c:v>CDC7_E5</c:v>
                </c:pt>
                <c:pt idx="11">
                  <c:v>CDC7_E6</c:v>
                </c:pt>
                <c:pt idx="12">
                  <c:v>CDC7_E7</c:v>
                </c:pt>
                <c:pt idx="14">
                  <c:v>UBE2H_236</c:v>
                </c:pt>
                <c:pt idx="15">
                  <c:v>UBE2H_268</c:v>
                </c:pt>
                <c:pt idx="16">
                  <c:v>UBE2H_301</c:v>
                </c:pt>
                <c:pt idx="17">
                  <c:v>UBE2H_917</c:v>
                </c:pt>
              </c:strCache>
            </c:strRef>
          </c:cat>
          <c:val>
            <c:numRef>
              <c:f>'[2]SNU1 c114'!$V$7:$V$24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A-9342-ABA2-D10AEC621674}"/>
            </c:ext>
          </c:extLst>
        </c:ser>
        <c:ser>
          <c:idx val="1"/>
          <c:order val="1"/>
          <c:tx>
            <c:strRef>
              <c:f>'[2]SNU1 c114'!$W$6</c:f>
              <c:strCache>
                <c:ptCount val="1"/>
                <c:pt idx="0">
                  <c:v>Day 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'[2]SNU1 c114'!$U$7:$U$24</c:f>
              <c:strCache>
                <c:ptCount val="18"/>
                <c:pt idx="0">
                  <c:v>ROSA_g1</c:v>
                </c:pt>
                <c:pt idx="1">
                  <c:v>AAVS1_277</c:v>
                </c:pt>
                <c:pt idx="2">
                  <c:v>AAVS1 g1</c:v>
                </c:pt>
                <c:pt idx="3">
                  <c:v>AAVS1 g2</c:v>
                </c:pt>
                <c:pt idx="5">
                  <c:v>CDK9_ 44</c:v>
                </c:pt>
                <c:pt idx="6">
                  <c:v>CDK9_771</c:v>
                </c:pt>
                <c:pt idx="7">
                  <c:v>CDK9_774</c:v>
                </c:pt>
                <c:pt idx="8">
                  <c:v>CDK9_913</c:v>
                </c:pt>
                <c:pt idx="9">
                  <c:v>CDC7_E4</c:v>
                </c:pt>
                <c:pt idx="10">
                  <c:v>CDC7_E5</c:v>
                </c:pt>
                <c:pt idx="11">
                  <c:v>CDC7_E6</c:v>
                </c:pt>
                <c:pt idx="12">
                  <c:v>CDC7_E7</c:v>
                </c:pt>
                <c:pt idx="14">
                  <c:v>UBE2H_236</c:v>
                </c:pt>
                <c:pt idx="15">
                  <c:v>UBE2H_268</c:v>
                </c:pt>
                <c:pt idx="16">
                  <c:v>UBE2H_301</c:v>
                </c:pt>
                <c:pt idx="17">
                  <c:v>UBE2H_917</c:v>
                </c:pt>
              </c:strCache>
            </c:strRef>
          </c:cat>
          <c:val>
            <c:numRef>
              <c:f>'[2]SNU1 c114'!$W$7:$W$24</c:f>
              <c:numCache>
                <c:formatCode>0.0</c:formatCode>
                <c:ptCount val="18"/>
                <c:pt idx="0">
                  <c:v>0.89905902480752775</c:v>
                </c:pt>
                <c:pt idx="1">
                  <c:v>0.90882967607105536</c:v>
                </c:pt>
                <c:pt idx="2">
                  <c:v>0.85986975072984506</c:v>
                </c:pt>
                <c:pt idx="3">
                  <c:v>0.89761805265357297</c:v>
                </c:pt>
                <c:pt idx="5">
                  <c:v>0.85883125410374273</c:v>
                </c:pt>
                <c:pt idx="6">
                  <c:v>0.83398926654740602</c:v>
                </c:pt>
                <c:pt idx="7">
                  <c:v>0.76235584843492588</c:v>
                </c:pt>
                <c:pt idx="8">
                  <c:v>0.83129123468426025</c:v>
                </c:pt>
                <c:pt idx="9">
                  <c:v>1.3464668094218415</c:v>
                </c:pt>
                <c:pt idx="10">
                  <c:v>1.3649592549476135</c:v>
                </c:pt>
                <c:pt idx="11">
                  <c:v>1.1256133464180571</c:v>
                </c:pt>
                <c:pt idx="12">
                  <c:v>1.152276295133438</c:v>
                </c:pt>
                <c:pt idx="14">
                  <c:v>0.96072986909956359</c:v>
                </c:pt>
                <c:pt idx="15">
                  <c:v>0.96000000000000008</c:v>
                </c:pt>
                <c:pt idx="16">
                  <c:v>0.92002176278563663</c:v>
                </c:pt>
                <c:pt idx="17">
                  <c:v>0.93197725284339461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DA-9342-ABA2-D10AEC621674}"/>
            </c:ext>
          </c:extLst>
        </c:ser>
        <c:ser>
          <c:idx val="2"/>
          <c:order val="2"/>
          <c:tx>
            <c:strRef>
              <c:f>'[2]SNU1 c114'!$X$6</c:f>
              <c:strCache>
                <c:ptCount val="1"/>
                <c:pt idx="0">
                  <c:v>Day 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'[2]SNU1 c114'!$U$7:$U$24</c:f>
              <c:strCache>
                <c:ptCount val="18"/>
                <c:pt idx="0">
                  <c:v>ROSA_g1</c:v>
                </c:pt>
                <c:pt idx="1">
                  <c:v>AAVS1_277</c:v>
                </c:pt>
                <c:pt idx="2">
                  <c:v>AAVS1 g1</c:v>
                </c:pt>
                <c:pt idx="3">
                  <c:v>AAVS1 g2</c:v>
                </c:pt>
                <c:pt idx="5">
                  <c:v>CDK9_ 44</c:v>
                </c:pt>
                <c:pt idx="6">
                  <c:v>CDK9_771</c:v>
                </c:pt>
                <c:pt idx="7">
                  <c:v>CDK9_774</c:v>
                </c:pt>
                <c:pt idx="8">
                  <c:v>CDK9_913</c:v>
                </c:pt>
                <c:pt idx="9">
                  <c:v>CDC7_E4</c:v>
                </c:pt>
                <c:pt idx="10">
                  <c:v>CDC7_E5</c:v>
                </c:pt>
                <c:pt idx="11">
                  <c:v>CDC7_E6</c:v>
                </c:pt>
                <c:pt idx="12">
                  <c:v>CDC7_E7</c:v>
                </c:pt>
                <c:pt idx="14">
                  <c:v>UBE2H_236</c:v>
                </c:pt>
                <c:pt idx="15">
                  <c:v>UBE2H_268</c:v>
                </c:pt>
                <c:pt idx="16">
                  <c:v>UBE2H_301</c:v>
                </c:pt>
                <c:pt idx="17">
                  <c:v>UBE2H_917</c:v>
                </c:pt>
              </c:strCache>
            </c:strRef>
          </c:cat>
          <c:val>
            <c:numRef>
              <c:f>'[2]SNU1 c114'!$X$7:$X$24</c:f>
              <c:numCache>
                <c:formatCode>0.0</c:formatCode>
                <c:ptCount val="18"/>
                <c:pt idx="0">
                  <c:v>1.0393591772151898</c:v>
                </c:pt>
                <c:pt idx="1">
                  <c:v>1.0485232067510548</c:v>
                </c:pt>
                <c:pt idx="2">
                  <c:v>1.0385136967724438</c:v>
                </c:pt>
                <c:pt idx="3">
                  <c:v>0.97216564833672781</c:v>
                </c:pt>
                <c:pt idx="5">
                  <c:v>1.2744397531666127</c:v>
                </c:pt>
                <c:pt idx="6">
                  <c:v>1.2431999999999999</c:v>
                </c:pt>
                <c:pt idx="7">
                  <c:v>0.87146892655367247</c:v>
                </c:pt>
                <c:pt idx="8">
                  <c:v>1.0870994248151191</c:v>
                </c:pt>
                <c:pt idx="9">
                  <c:v>2.5436893203883497</c:v>
                </c:pt>
                <c:pt idx="10">
                  <c:v>3.782258064516129</c:v>
                </c:pt>
                <c:pt idx="11">
                  <c:v>2.5602678571428572</c:v>
                </c:pt>
                <c:pt idx="12">
                  <c:v>2.0054644808743167</c:v>
                </c:pt>
                <c:pt idx="14">
                  <c:v>1.6772853185595569</c:v>
                </c:pt>
                <c:pt idx="15">
                  <c:v>1.5113808801213962</c:v>
                </c:pt>
                <c:pt idx="16">
                  <c:v>1.3057915057915059</c:v>
                </c:pt>
                <c:pt idx="17">
                  <c:v>1.1239778422579796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DA-9342-ABA2-D10AEC621674}"/>
            </c:ext>
          </c:extLst>
        </c:ser>
        <c:ser>
          <c:idx val="3"/>
          <c:order val="3"/>
          <c:tx>
            <c:strRef>
              <c:f>'[2]SNU1 c114'!$Y$6</c:f>
              <c:strCache>
                <c:ptCount val="1"/>
                <c:pt idx="0">
                  <c:v>Day 12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'[2]SNU1 c114'!$U$7:$U$24</c:f>
              <c:strCache>
                <c:ptCount val="18"/>
                <c:pt idx="0">
                  <c:v>ROSA_g1</c:v>
                </c:pt>
                <c:pt idx="1">
                  <c:v>AAVS1_277</c:v>
                </c:pt>
                <c:pt idx="2">
                  <c:v>AAVS1 g1</c:v>
                </c:pt>
                <c:pt idx="3">
                  <c:v>AAVS1 g2</c:v>
                </c:pt>
                <c:pt idx="5">
                  <c:v>CDK9_ 44</c:v>
                </c:pt>
                <c:pt idx="6">
                  <c:v>CDK9_771</c:v>
                </c:pt>
                <c:pt idx="7">
                  <c:v>CDK9_774</c:v>
                </c:pt>
                <c:pt idx="8">
                  <c:v>CDK9_913</c:v>
                </c:pt>
                <c:pt idx="9">
                  <c:v>CDC7_E4</c:v>
                </c:pt>
                <c:pt idx="10">
                  <c:v>CDC7_E5</c:v>
                </c:pt>
                <c:pt idx="11">
                  <c:v>CDC7_E6</c:v>
                </c:pt>
                <c:pt idx="12">
                  <c:v>CDC7_E7</c:v>
                </c:pt>
                <c:pt idx="14">
                  <c:v>UBE2H_236</c:v>
                </c:pt>
                <c:pt idx="15">
                  <c:v>UBE2H_268</c:v>
                </c:pt>
                <c:pt idx="16">
                  <c:v>UBE2H_301</c:v>
                </c:pt>
                <c:pt idx="17">
                  <c:v>UBE2H_917</c:v>
                </c:pt>
              </c:strCache>
            </c:strRef>
          </c:cat>
          <c:val>
            <c:numRef>
              <c:f>'[2]SNU1 c114'!$Y$7:$Y$24</c:f>
              <c:numCache>
                <c:formatCode>0.0</c:formatCode>
                <c:ptCount val="18"/>
                <c:pt idx="0">
                  <c:v>1.1824932493249325</c:v>
                </c:pt>
                <c:pt idx="1">
                  <c:v>1.1773265651438241</c:v>
                </c:pt>
                <c:pt idx="2">
                  <c:v>1.2105595953208979</c:v>
                </c:pt>
                <c:pt idx="3">
                  <c:v>1.1072164948453609</c:v>
                </c:pt>
                <c:pt idx="5">
                  <c:v>2.3440860215053765</c:v>
                </c:pt>
                <c:pt idx="6">
                  <c:v>2.5986622073578594</c:v>
                </c:pt>
                <c:pt idx="7">
                  <c:v>1.0881834215167547</c:v>
                </c:pt>
                <c:pt idx="8">
                  <c:v>1.6114494518879414</c:v>
                </c:pt>
                <c:pt idx="9">
                  <c:v>3.9596977329974812</c:v>
                </c:pt>
                <c:pt idx="10">
                  <c:v>8.5272727272727273</c:v>
                </c:pt>
                <c:pt idx="11">
                  <c:v>5.3473193473193472</c:v>
                </c:pt>
                <c:pt idx="12">
                  <c:v>2.8015267175572518</c:v>
                </c:pt>
                <c:pt idx="14">
                  <c:v>2.8494117647058821</c:v>
                </c:pt>
                <c:pt idx="15">
                  <c:v>2.1866081229418226</c:v>
                </c:pt>
                <c:pt idx="16">
                  <c:v>2.0447400241837972</c:v>
                </c:pt>
                <c:pt idx="17">
                  <c:v>1.5539752005835155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DA-9342-ABA2-D10AEC621674}"/>
            </c:ext>
          </c:extLst>
        </c:ser>
        <c:ser>
          <c:idx val="4"/>
          <c:order val="4"/>
          <c:tx>
            <c:strRef>
              <c:f>'[2]SNU1 c114'!$Z$6</c:f>
              <c:strCache>
                <c:ptCount val="1"/>
                <c:pt idx="0">
                  <c:v>Day 15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'[2]SNU1 c114'!$U$7:$U$24</c:f>
              <c:strCache>
                <c:ptCount val="18"/>
                <c:pt idx="0">
                  <c:v>ROSA_g1</c:v>
                </c:pt>
                <c:pt idx="1">
                  <c:v>AAVS1_277</c:v>
                </c:pt>
                <c:pt idx="2">
                  <c:v>AAVS1 g1</c:v>
                </c:pt>
                <c:pt idx="3">
                  <c:v>AAVS1 g2</c:v>
                </c:pt>
                <c:pt idx="5">
                  <c:v>CDK9_ 44</c:v>
                </c:pt>
                <c:pt idx="6">
                  <c:v>CDK9_771</c:v>
                </c:pt>
                <c:pt idx="7">
                  <c:v>CDK9_774</c:v>
                </c:pt>
                <c:pt idx="8">
                  <c:v>CDK9_913</c:v>
                </c:pt>
                <c:pt idx="9">
                  <c:v>CDC7_E4</c:v>
                </c:pt>
                <c:pt idx="10">
                  <c:v>CDC7_E5</c:v>
                </c:pt>
                <c:pt idx="11">
                  <c:v>CDC7_E6</c:v>
                </c:pt>
                <c:pt idx="12">
                  <c:v>CDC7_E7</c:v>
                </c:pt>
                <c:pt idx="14">
                  <c:v>UBE2H_236</c:v>
                </c:pt>
                <c:pt idx="15">
                  <c:v>UBE2H_268</c:v>
                </c:pt>
                <c:pt idx="16">
                  <c:v>UBE2H_301</c:v>
                </c:pt>
                <c:pt idx="17">
                  <c:v>UBE2H_917</c:v>
                </c:pt>
              </c:strCache>
            </c:strRef>
          </c:cat>
          <c:val>
            <c:numRef>
              <c:f>'[2]SNU1 c114'!$Z$7:$Z$24</c:f>
              <c:numCache>
                <c:formatCode>0.0</c:formatCode>
                <c:ptCount val="18"/>
                <c:pt idx="0">
                  <c:v>1.2687107677450506</c:v>
                </c:pt>
                <c:pt idx="1">
                  <c:v>1.2532420749279538</c:v>
                </c:pt>
                <c:pt idx="2">
                  <c:v>1.3099555251453985</c:v>
                </c:pt>
                <c:pt idx="3">
                  <c:v>1.1906873614190687</c:v>
                </c:pt>
                <c:pt idx="5">
                  <c:v>4.2103004291845494</c:v>
                </c:pt>
                <c:pt idx="6">
                  <c:v>5.4462616822429899</c:v>
                </c:pt>
                <c:pt idx="7">
                  <c:v>1.2791983413959918</c:v>
                </c:pt>
                <c:pt idx="8">
                  <c:v>2.4164383561643836</c:v>
                </c:pt>
                <c:pt idx="9">
                  <c:v>4.3849372384937242</c:v>
                </c:pt>
                <c:pt idx="10">
                  <c:v>12.814207650273223</c:v>
                </c:pt>
                <c:pt idx="11">
                  <c:v>8.2517985611510802</c:v>
                </c:pt>
                <c:pt idx="12">
                  <c:v>3.2767857142857144</c:v>
                </c:pt>
                <c:pt idx="14">
                  <c:v>4.5784499054820413</c:v>
                </c:pt>
                <c:pt idx="15">
                  <c:v>3.0505359877488516</c:v>
                </c:pt>
                <c:pt idx="16">
                  <c:v>3.2117758784425452</c:v>
                </c:pt>
                <c:pt idx="17">
                  <c:v>1.9846297158826269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DA-9342-ABA2-D10AEC621674}"/>
            </c:ext>
          </c:extLst>
        </c:ser>
        <c:ser>
          <c:idx val="5"/>
          <c:order val="5"/>
          <c:tx>
            <c:strRef>
              <c:f>'[2]SNU1 c114'!$AA$6</c:f>
              <c:strCache>
                <c:ptCount val="1"/>
                <c:pt idx="0">
                  <c:v>Day 18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'[2]SNU1 c114'!$U$7:$U$24</c:f>
              <c:strCache>
                <c:ptCount val="18"/>
                <c:pt idx="0">
                  <c:v>ROSA_g1</c:v>
                </c:pt>
                <c:pt idx="1">
                  <c:v>AAVS1_277</c:v>
                </c:pt>
                <c:pt idx="2">
                  <c:v>AAVS1 g1</c:v>
                </c:pt>
                <c:pt idx="3">
                  <c:v>AAVS1 g2</c:v>
                </c:pt>
                <c:pt idx="5">
                  <c:v>CDK9_ 44</c:v>
                </c:pt>
                <c:pt idx="6">
                  <c:v>CDK9_771</c:v>
                </c:pt>
                <c:pt idx="7">
                  <c:v>CDK9_774</c:v>
                </c:pt>
                <c:pt idx="8">
                  <c:v>CDK9_913</c:v>
                </c:pt>
                <c:pt idx="9">
                  <c:v>CDC7_E4</c:v>
                </c:pt>
                <c:pt idx="10">
                  <c:v>CDC7_E5</c:v>
                </c:pt>
                <c:pt idx="11">
                  <c:v>CDC7_E6</c:v>
                </c:pt>
                <c:pt idx="12">
                  <c:v>CDC7_E7</c:v>
                </c:pt>
                <c:pt idx="14">
                  <c:v>UBE2H_236</c:v>
                </c:pt>
                <c:pt idx="15">
                  <c:v>UBE2H_268</c:v>
                </c:pt>
                <c:pt idx="16">
                  <c:v>UBE2H_301</c:v>
                </c:pt>
                <c:pt idx="17">
                  <c:v>UBE2H_917</c:v>
                </c:pt>
              </c:strCache>
            </c:strRef>
          </c:cat>
          <c:val>
            <c:numRef>
              <c:f>'[2]SNU1 c114'!$AA$7:$AA$24</c:f>
              <c:numCache>
                <c:formatCode>0.0</c:formatCode>
                <c:ptCount val="18"/>
                <c:pt idx="0">
                  <c:v>1.3177031093279838</c:v>
                </c:pt>
                <c:pt idx="1">
                  <c:v>1.2389601139601141</c:v>
                </c:pt>
                <c:pt idx="2">
                  <c:v>1.3295138888888889</c:v>
                </c:pt>
                <c:pt idx="3">
                  <c:v>1.128447596532703</c:v>
                </c:pt>
                <c:pt idx="5">
                  <c:v>5.8133333333333335</c:v>
                </c:pt>
                <c:pt idx="6">
                  <c:v>7.6677631578947363</c:v>
                </c:pt>
                <c:pt idx="7">
                  <c:v>1.4054669703872438</c:v>
                </c:pt>
                <c:pt idx="8">
                  <c:v>3.0102389078498297</c:v>
                </c:pt>
                <c:pt idx="9">
                  <c:v>5.2225913621262468</c:v>
                </c:pt>
                <c:pt idx="10">
                  <c:v>17.765151515151512</c:v>
                </c:pt>
                <c:pt idx="11">
                  <c:v>12.4</c:v>
                </c:pt>
                <c:pt idx="12">
                  <c:v>4.0627306273062729</c:v>
                </c:pt>
                <c:pt idx="14">
                  <c:v>5.7393364928909953</c:v>
                </c:pt>
                <c:pt idx="15">
                  <c:v>3.787072243346008</c:v>
                </c:pt>
                <c:pt idx="16">
                  <c:v>4.3248081841432224</c:v>
                </c:pt>
                <c:pt idx="17">
                  <c:v>2.2970350404312669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DA-9342-ABA2-D10AEC621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8033264"/>
        <c:axId val="1088034992"/>
      </c:barChart>
      <c:catAx>
        <c:axId val="108803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034992"/>
        <c:crosses val="autoZero"/>
        <c:auto val="1"/>
        <c:lblAlgn val="ctr"/>
        <c:lblOffset val="100"/>
        <c:noMultiLvlLbl val="0"/>
      </c:catAx>
      <c:valAx>
        <c:axId val="108803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03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37</xdr:row>
      <xdr:rowOff>0</xdr:rowOff>
    </xdr:from>
    <xdr:to>
      <xdr:col>26</xdr:col>
      <xdr:colOff>558800</xdr:colOff>
      <xdr:row>50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361CA2-C20E-4B4A-9FB0-A731D3F776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228600</xdr:colOff>
      <xdr:row>32</xdr:row>
      <xdr:rowOff>114300</xdr:rowOff>
    </xdr:from>
    <xdr:to>
      <xdr:col>27</xdr:col>
      <xdr:colOff>0</xdr:colOff>
      <xdr:row>46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7F362C-5F51-9D48-93F7-2F9BC4974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254000</xdr:colOff>
      <xdr:row>33</xdr:row>
      <xdr:rowOff>0</xdr:rowOff>
    </xdr:from>
    <xdr:to>
      <xdr:col>27</xdr:col>
      <xdr:colOff>25400</xdr:colOff>
      <xdr:row>46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38A2DF-EB41-3B4C-9DFF-765EEB2055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254000</xdr:colOff>
      <xdr:row>33</xdr:row>
      <xdr:rowOff>0</xdr:rowOff>
    </xdr:from>
    <xdr:to>
      <xdr:col>27</xdr:col>
      <xdr:colOff>25400</xdr:colOff>
      <xdr:row>46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2F8ADF-57BB-774C-B392-5338B3062E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292100</xdr:colOff>
      <xdr:row>32</xdr:row>
      <xdr:rowOff>139700</xdr:rowOff>
    </xdr:from>
    <xdr:to>
      <xdr:col>27</xdr:col>
      <xdr:colOff>63500</xdr:colOff>
      <xdr:row>46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41B556-9442-0945-A937-348BD3BB1C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hristinescaduto/Documents/Klaske/Klaske/Digital%20lab%20notebook/Hit%20Gene%20follow%20up/sgRNA%20Dropout/SNU1_Dropout_Reanalyze.xlsx" TargetMode="External"/><Relationship Id="rId1" Type="http://schemas.openxmlformats.org/officeDocument/2006/relationships/externalLinkPath" Target="/Users/christinescaduto/Documents/Klaske/Klaske/Digital%20lab%20notebook/Hit%20Gene%20follow%20up/sgRNA%20Dropout/SNU1_Dropout_Reanalyz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hristinescaduto/Documents/Klaske/Klaske/Digital%20lab%20notebook/Hit%20Gene%20follow%20up/sgRNA%20Dropout/GFP_Dropout_HitGene_UBE2H.xlsx" TargetMode="External"/><Relationship Id="rId1" Type="http://schemas.openxmlformats.org/officeDocument/2006/relationships/externalLinkPath" Target="/Users/christinescaduto/Documents/Klaske/Klaske/Digital%20lab%20notebook/Hit%20Gene%20follow%20up/sgRNA%20Dropout/GFP_Dropout_HitGene_UBE2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6">
          <cell r="V6" t="str">
            <v>Day 3</v>
          </cell>
          <cell r="W6" t="str">
            <v>Day 6</v>
          </cell>
          <cell r="X6" t="str">
            <v>Day 9</v>
          </cell>
          <cell r="Y6" t="str">
            <v>Day 12</v>
          </cell>
          <cell r="Z6" t="str">
            <v>Day 15</v>
          </cell>
          <cell r="AA6" t="str">
            <v>Day 18</v>
          </cell>
        </row>
        <row r="7">
          <cell r="U7" t="str">
            <v xml:space="preserve"> ROSA26_g1</v>
          </cell>
          <cell r="V7">
            <v>1</v>
          </cell>
          <cell r="W7">
            <v>0.74189473684210527</v>
          </cell>
          <cell r="X7">
            <v>0.84738698300737414</v>
          </cell>
          <cell r="Y7">
            <v>0.89913250552815105</v>
          </cell>
          <cell r="Z7">
            <v>0.87938778905340209</v>
          </cell>
          <cell r="AA7">
            <v>0.96636197440585003</v>
          </cell>
        </row>
        <row r="8">
          <cell r="U8"/>
          <cell r="V8"/>
          <cell r="W8"/>
          <cell r="X8"/>
          <cell r="Y8"/>
          <cell r="Z8"/>
          <cell r="AA8"/>
        </row>
        <row r="9">
          <cell r="U9" t="str">
            <v xml:space="preserve"> CDK9_44</v>
          </cell>
          <cell r="V9">
            <v>1</v>
          </cell>
          <cell r="W9">
            <v>1.0353328938694792</v>
          </cell>
          <cell r="X9">
            <v>1.856501182033097</v>
          </cell>
          <cell r="Y9">
            <v>5.6537077033837289</v>
          </cell>
          <cell r="Z9">
            <v>6.9928762243989313</v>
          </cell>
          <cell r="AA9">
            <v>8.4805615550755942</v>
          </cell>
        </row>
        <row r="10">
          <cell r="U10" t="str">
            <v xml:space="preserve"> CDK9_771</v>
          </cell>
          <cell r="V10">
            <v>1</v>
          </cell>
          <cell r="W10">
            <v>0.91946197276652275</v>
          </cell>
          <cell r="X10">
            <v>1.5190672153635114</v>
          </cell>
          <cell r="Y10">
            <v>6.6232057416267942</v>
          </cell>
          <cell r="Z10">
            <v>25.995305164319248</v>
          </cell>
          <cell r="AA10">
            <v>53.757281553398052</v>
          </cell>
        </row>
        <row r="11">
          <cell r="U11" t="str">
            <v xml:space="preserve"> CDK9_774</v>
          </cell>
          <cell r="V11">
            <v>1</v>
          </cell>
          <cell r="W11">
            <v>1.0307799442896937</v>
          </cell>
          <cell r="X11">
            <v>1.2820024250822797</v>
          </cell>
          <cell r="Y11">
            <v>1.9673046251993622</v>
          </cell>
          <cell r="Z11">
            <v>2.1502033701336432</v>
          </cell>
          <cell r="AA11">
            <v>2.7687991021324354</v>
          </cell>
        </row>
        <row r="12">
          <cell r="U12" t="str">
            <v xml:space="preserve"> CDK9_913</v>
          </cell>
          <cell r="V12">
            <v>1</v>
          </cell>
          <cell r="W12">
            <v>0.95006570302233906</v>
          </cell>
          <cell r="X12">
            <v>1.4240693322828442</v>
          </cell>
          <cell r="Y12">
            <v>3.5615763546798025</v>
          </cell>
          <cell r="Z12">
            <v>4.0077605321507761</v>
          </cell>
          <cell r="AA12">
            <v>5.0665732305536091</v>
          </cell>
        </row>
        <row r="13">
          <cell r="U13" t="str">
            <v xml:space="preserve"> CDC7_E4</v>
          </cell>
          <cell r="V13">
            <v>1</v>
          </cell>
          <cell r="W13">
            <v>0.83580227662560436</v>
          </cell>
          <cell r="X13">
            <v>1.8194161575016972</v>
          </cell>
          <cell r="Y13">
            <v>3.0471859010801592</v>
          </cell>
          <cell r="Z13">
            <v>3.2524271844660193</v>
          </cell>
          <cell r="AA13">
            <v>3.979213066072754</v>
          </cell>
        </row>
        <row r="14">
          <cell r="U14" t="str">
            <v xml:space="preserve"> CDC7_E5</v>
          </cell>
          <cell r="V14">
            <v>1</v>
          </cell>
          <cell r="W14">
            <v>0.90966040224200462</v>
          </cell>
          <cell r="X14">
            <v>3.1387940841865758</v>
          </cell>
          <cell r="Y14">
            <v>8.9869706840390879</v>
          </cell>
          <cell r="Z14">
            <v>12.569476082004556</v>
          </cell>
          <cell r="AA14">
            <v>18.211221122112214</v>
          </cell>
        </row>
        <row r="15">
          <cell r="U15" t="str">
            <v xml:space="preserve"> CDC7_E6</v>
          </cell>
          <cell r="V15">
            <v>1</v>
          </cell>
          <cell r="W15">
            <v>1.1222888786340561</v>
          </cell>
          <cell r="X15">
            <v>2.9586374695863746</v>
          </cell>
          <cell r="Y15">
            <v>4.7407407407407405</v>
          </cell>
          <cell r="Z15">
            <v>8.4444444444444446</v>
          </cell>
          <cell r="AA15">
            <v>15.895424836601308</v>
          </cell>
        </row>
        <row r="16">
          <cell r="U16" t="str">
            <v xml:space="preserve"> CDC7_E7</v>
          </cell>
          <cell r="V16">
            <v>1</v>
          </cell>
          <cell r="W16">
            <v>0.87715701349735187</v>
          </cell>
          <cell r="X16">
            <v>1.7159090909090908</v>
          </cell>
          <cell r="Y16">
            <v>2.6355236139630391</v>
          </cell>
          <cell r="Z16">
            <v>2.7616998386229157</v>
          </cell>
          <cell r="AA16">
            <v>3.1496932515337424</v>
          </cell>
        </row>
        <row r="17">
          <cell r="U17"/>
          <cell r="V17"/>
          <cell r="W17"/>
          <cell r="X17"/>
          <cell r="Y17"/>
          <cell r="Z17"/>
          <cell r="AA17"/>
        </row>
        <row r="18">
          <cell r="U18" t="str">
            <v>UBE2H_ 236</v>
          </cell>
          <cell r="V18">
            <v>1</v>
          </cell>
          <cell r="W18">
            <v>0.96739828006674378</v>
          </cell>
          <cell r="X18">
            <v>1.1116519174041299</v>
          </cell>
          <cell r="Y18">
            <v>1.2637491616364855</v>
          </cell>
          <cell r="Z18">
            <v>1.177840287544929</v>
          </cell>
          <cell r="AA18">
            <v>1.5049920127795529</v>
          </cell>
        </row>
        <row r="19">
          <cell r="U19" t="str">
            <v>UBE2H_268</v>
          </cell>
          <cell r="V19">
            <v>1</v>
          </cell>
          <cell r="W19">
            <v>0.92832143357132857</v>
          </cell>
          <cell r="X19">
            <v>1.2047601744186047</v>
          </cell>
          <cell r="Y19">
            <v>1.6360720453984703</v>
          </cell>
          <cell r="Z19">
            <v>1.524367816091954</v>
          </cell>
          <cell r="AA19">
            <v>2.0657320872274143</v>
          </cell>
        </row>
        <row r="20">
          <cell r="U20" t="str">
            <v>UBE2H_301</v>
          </cell>
          <cell r="V20">
            <v>1</v>
          </cell>
          <cell r="W20">
            <v>0.92288861689106494</v>
          </cell>
          <cell r="X20">
            <v>1.0796105383734249</v>
          </cell>
          <cell r="Y20">
            <v>1.2663755458515285</v>
          </cell>
          <cell r="Z20">
            <v>1.197205462051445</v>
          </cell>
          <cell r="AA20">
            <v>1.4700721388184832</v>
          </cell>
        </row>
        <row r="21">
          <cell r="U21" t="str">
            <v>UBE2H_917</v>
          </cell>
          <cell r="V21">
            <v>1</v>
          </cell>
          <cell r="W21">
            <v>0.93969364371004704</v>
          </cell>
          <cell r="X21">
            <v>1.1044797278140062</v>
          </cell>
          <cell r="Y21">
            <v>1.3149367088607595</v>
          </cell>
          <cell r="Z21">
            <v>1.2639519792342635</v>
          </cell>
          <cell r="AA21">
            <v>1.6558979808714134</v>
          </cell>
        </row>
        <row r="22">
          <cell r="X22"/>
          <cell r="Y22"/>
          <cell r="Z22"/>
          <cell r="AA22"/>
        </row>
        <row r="23">
          <cell r="U23" t="str">
            <v>FOSL1_632</v>
          </cell>
          <cell r="V23">
            <v>1</v>
          </cell>
          <cell r="W23">
            <v>0.98073148974130242</v>
          </cell>
          <cell r="X23">
            <v>1.5993599068955486</v>
          </cell>
          <cell r="Y23">
            <v>1.944464096215069</v>
          </cell>
          <cell r="Z23">
            <v>1.9945573294629899</v>
          </cell>
          <cell r="AA23">
            <v>2.413081650570676</v>
          </cell>
        </row>
        <row r="24">
          <cell r="U24" t="str">
            <v>FOSL1_635</v>
          </cell>
          <cell r="V24">
            <v>1</v>
          </cell>
          <cell r="W24">
            <v>0.6930280957336109</v>
          </cell>
          <cell r="X24">
            <v>1.0003755163349606</v>
          </cell>
          <cell r="Y24">
            <v>1.1374893253629377</v>
          </cell>
          <cell r="Z24">
            <v>1.1118530884808013</v>
          </cell>
          <cell r="AA24">
            <v>1.283855421686747</v>
          </cell>
        </row>
        <row r="25">
          <cell r="U25" t="str">
            <v>FOSL1_636</v>
          </cell>
          <cell r="V25">
            <v>1</v>
          </cell>
          <cell r="W25">
            <v>0.81404644080700428</v>
          </cell>
          <cell r="X25">
            <v>1.2027559055118111</v>
          </cell>
          <cell r="Y25">
            <v>1.3917995444191344</v>
          </cell>
          <cell r="Z25">
            <v>1.4835241068331602</v>
          </cell>
          <cell r="AA25">
            <v>1.8145948239287231</v>
          </cell>
        </row>
        <row r="26">
          <cell r="U26" t="str">
            <v>FOSL1_KS1</v>
          </cell>
          <cell r="V26">
            <v>1</v>
          </cell>
          <cell r="W26">
            <v>0.81989247311827962</v>
          </cell>
          <cell r="X26">
            <v>1.4728370221327967</v>
          </cell>
          <cell r="Y26">
            <v>2.0584926884139483</v>
          </cell>
          <cell r="Z26">
            <v>2.4563758389261747</v>
          </cell>
          <cell r="AA26">
            <v>3.2972972972972974</v>
          </cell>
        </row>
        <row r="27">
          <cell r="U27" t="str">
            <v>FOSL1_634</v>
          </cell>
        </row>
      </sheetData>
      <sheetData sheetId="1">
        <row r="3">
          <cell r="V3" t="str">
            <v>Day 3</v>
          </cell>
          <cell r="W3" t="str">
            <v>Day 6</v>
          </cell>
          <cell r="X3" t="str">
            <v>Day 9</v>
          </cell>
          <cell r="Y3" t="str">
            <v>Day 12</v>
          </cell>
          <cell r="Z3" t="str">
            <v>Day 15</v>
          </cell>
          <cell r="AA3" t="str">
            <v>Day 18</v>
          </cell>
        </row>
        <row r="4">
          <cell r="U4" t="str">
            <v xml:space="preserve"> ROSA26_g1</v>
          </cell>
          <cell r="V4">
            <v>1</v>
          </cell>
          <cell r="W4">
            <v>0.80367100371747224</v>
          </cell>
          <cell r="X4">
            <v>0.85502410085279956</v>
          </cell>
          <cell r="Y4">
            <v>0.90514195996336522</v>
          </cell>
          <cell r="Z4">
            <v>0.90066397604478587</v>
          </cell>
          <cell r="AA4">
            <v>0.964719007111979</v>
          </cell>
        </row>
        <row r="5">
          <cell r="U5"/>
          <cell r="X5"/>
          <cell r="Z5"/>
          <cell r="AA5"/>
        </row>
        <row r="6">
          <cell r="U6" t="str">
            <v xml:space="preserve"> CDK9_44</v>
          </cell>
          <cell r="V6">
            <v>1</v>
          </cell>
          <cell r="W6">
            <v>0.97930396577639045</v>
          </cell>
          <cell r="X6">
            <v>1.1660242290748899</v>
          </cell>
          <cell r="Y6">
            <v>2.4751607247223846</v>
          </cell>
          <cell r="Z6">
            <v>5.0177725118483414</v>
          </cell>
          <cell r="AA6">
            <v>7.0701168614357259</v>
          </cell>
        </row>
        <row r="7">
          <cell r="U7" t="str">
            <v xml:space="preserve"> CDK9_771</v>
          </cell>
          <cell r="V7">
            <v>1</v>
          </cell>
          <cell r="W7">
            <v>0.84554807570176538</v>
          </cell>
          <cell r="X7">
            <v>0.94051992088160485</v>
          </cell>
          <cell r="Y7">
            <v>1.6510416666666665</v>
          </cell>
          <cell r="Z7">
            <v>3.4120963608405939</v>
          </cell>
          <cell r="AA7">
            <v>5.4121951219512185</v>
          </cell>
        </row>
        <row r="8">
          <cell r="U8" t="str">
            <v xml:space="preserve"> CDK9_774</v>
          </cell>
          <cell r="V8">
            <v>1</v>
          </cell>
          <cell r="W8">
            <v>0.92508292348164234</v>
          </cell>
          <cell r="X8">
            <v>0.97645780514306402</v>
          </cell>
          <cell r="Y8">
            <v>1.2346206686002135</v>
          </cell>
          <cell r="Z8">
            <v>1.4859452507808193</v>
          </cell>
          <cell r="AA8">
            <v>1.8791821561338289</v>
          </cell>
        </row>
        <row r="9">
          <cell r="U9" t="str">
            <v xml:space="preserve"> CDK9_913</v>
          </cell>
          <cell r="V9">
            <v>1</v>
          </cell>
          <cell r="W9">
            <v>0.98755092802172939</v>
          </cell>
          <cell r="X9">
            <v>1.0320520402128919</v>
          </cell>
          <cell r="Y9">
            <v>1.3507739938080496</v>
          </cell>
          <cell r="Z9">
            <v>1.743804956035172</v>
          </cell>
          <cell r="AA9">
            <v>2.0464352720450281</v>
          </cell>
        </row>
        <row r="10">
          <cell r="U10" t="str">
            <v xml:space="preserve"> CDC7_E4</v>
          </cell>
          <cell r="V10">
            <v>1</v>
          </cell>
          <cell r="W10">
            <v>0.9537759458265862</v>
          </cell>
          <cell r="X10">
            <v>1.3577116512992458</v>
          </cell>
          <cell r="Y10">
            <v>2.5397883183065466</v>
          </cell>
          <cell r="Z10">
            <v>2.897584973166369</v>
          </cell>
          <cell r="AA10">
            <v>3.4628540887226085</v>
          </cell>
        </row>
        <row r="11">
          <cell r="U11" t="str">
            <v xml:space="preserve"> CDC7_E6</v>
          </cell>
          <cell r="V11">
            <v>1</v>
          </cell>
          <cell r="W11">
            <v>0.97089669638175147</v>
          </cell>
          <cell r="X11">
            <v>1.8205506391347099</v>
          </cell>
          <cell r="Y11">
            <v>3.7708757637474544</v>
          </cell>
          <cell r="Z11">
            <v>4.2223489167616881</v>
          </cell>
          <cell r="AA11">
            <v>6.2976190476190483</v>
          </cell>
        </row>
        <row r="12">
          <cell r="U12" t="str">
            <v xml:space="preserve"> CDC7_E7</v>
          </cell>
          <cell r="V12">
            <v>1</v>
          </cell>
          <cell r="W12">
            <v>1.075294117647059</v>
          </cell>
          <cell r="X12">
            <v>1.9262381454162276</v>
          </cell>
          <cell r="Y12">
            <v>2.645441389290883</v>
          </cell>
          <cell r="Z12">
            <v>2.8697017268445841</v>
          </cell>
          <cell r="AA12">
            <v>3.8083333333333336</v>
          </cell>
        </row>
        <row r="13">
          <cell r="U13"/>
        </row>
        <row r="14">
          <cell r="U14" t="str">
            <v>UBE2H_ 236</v>
          </cell>
          <cell r="V14">
            <v>1</v>
          </cell>
          <cell r="W14">
            <v>0.97891016871865033</v>
          </cell>
          <cell r="X14">
            <v>1.1361471288700715</v>
          </cell>
          <cell r="Y14">
            <v>1.4128002632444883</v>
          </cell>
          <cell r="Z14">
            <v>2.0681599229287091</v>
          </cell>
          <cell r="AA14">
            <v>3.1225454545454547</v>
          </cell>
        </row>
        <row r="15">
          <cell r="U15" t="str">
            <v>UBE2H_268</v>
          </cell>
          <cell r="V15">
            <v>1</v>
          </cell>
          <cell r="W15">
            <v>0.85028179367802015</v>
          </cell>
          <cell r="X15">
            <v>1.0283004889613279</v>
          </cell>
          <cell r="Y15">
            <v>1.8068211403280399</v>
          </cell>
          <cell r="Z15">
            <v>2.2151292690711779</v>
          </cell>
          <cell r="AA15">
            <v>2.9025512337933921</v>
          </cell>
        </row>
        <row r="16">
          <cell r="U16" t="str">
            <v>UBE2H_301</v>
          </cell>
          <cell r="V16">
            <v>1</v>
          </cell>
          <cell r="W16">
            <v>0.90720961281708956</v>
          </cell>
          <cell r="X16">
            <v>0.99100631988332533</v>
          </cell>
          <cell r="Y16">
            <v>1.3464332892998681</v>
          </cell>
          <cell r="Z16">
            <v>1.6788140827671403</v>
          </cell>
          <cell r="AA16">
            <v>2.0838231535905956</v>
          </cell>
        </row>
        <row r="17">
          <cell r="U17" t="str">
            <v>UBE2H_917</v>
          </cell>
          <cell r="V17">
            <v>1</v>
          </cell>
          <cell r="W17">
            <v>0.9362000215540468</v>
          </cell>
          <cell r="X17">
            <v>1.0412321706820089</v>
          </cell>
          <cell r="Y17">
            <v>1.3466129282281816</v>
          </cell>
          <cell r="Z17">
            <v>1.5291321950360852</v>
          </cell>
          <cell r="AA17">
            <v>1.8361868526738534</v>
          </cell>
        </row>
        <row r="18">
          <cell r="X18"/>
          <cell r="Y18"/>
          <cell r="Z18"/>
          <cell r="AA18"/>
        </row>
        <row r="19">
          <cell r="U19" t="str">
            <v>FOSL1_632</v>
          </cell>
          <cell r="V19">
            <v>1</v>
          </cell>
          <cell r="W19">
            <v>0.88321557125716565</v>
          </cell>
          <cell r="X19">
            <v>1.0984911291659758</v>
          </cell>
          <cell r="Y19">
            <v>1.399450781580059</v>
          </cell>
          <cell r="Z19">
            <v>1.4192373607540703</v>
          </cell>
          <cell r="AA19">
            <v>1.6712916246215943</v>
          </cell>
        </row>
        <row r="20">
          <cell r="U20" t="str">
            <v>FOSL1_635</v>
          </cell>
          <cell r="V20">
            <v>1</v>
          </cell>
          <cell r="W20">
            <v>0.80249716231555057</v>
          </cell>
          <cell r="X20">
            <v>1.087931413497472</v>
          </cell>
          <cell r="Y20">
            <v>1.4135961153956014</v>
          </cell>
          <cell r="Z20">
            <v>1.3913410177115548</v>
          </cell>
          <cell r="AA20">
            <v>1.6799049558723693</v>
          </cell>
        </row>
        <row r="21">
          <cell r="U21" t="str">
            <v>FOSL1_636</v>
          </cell>
          <cell r="V21">
            <v>1</v>
          </cell>
          <cell r="W21">
            <v>0.85877166311948927</v>
          </cell>
          <cell r="X21">
            <v>1.2148387096774194</v>
          </cell>
          <cell r="Y21">
            <v>1.6752669039145909</v>
          </cell>
          <cell r="Z21">
            <v>1.683253873659118</v>
          </cell>
          <cell r="AA21">
            <v>2.088354898336414</v>
          </cell>
        </row>
        <row r="22">
          <cell r="U22" t="str">
            <v>FOSL1_KS1</v>
          </cell>
          <cell r="V22">
            <v>1</v>
          </cell>
          <cell r="W22">
            <v>0.73073106185908032</v>
          </cell>
          <cell r="X22">
            <v>1.1825481798715203</v>
          </cell>
          <cell r="Y22">
            <v>2.1572265625</v>
          </cell>
          <cell r="Z22">
            <v>2.3550106609808101</v>
          </cell>
          <cell r="AA22">
            <v>3.2224653537563821</v>
          </cell>
        </row>
        <row r="23">
          <cell r="U23" t="str">
            <v>FOSL1_634</v>
          </cell>
          <cell r="V23">
            <v>1</v>
          </cell>
          <cell r="W23">
            <v>1.0941190648349</v>
          </cell>
          <cell r="X23">
            <v>1.2794532130777905</v>
          </cell>
          <cell r="Y23">
            <v>1.3871657754010696</v>
          </cell>
          <cell r="Z23">
            <v>1.5427357689039933</v>
          </cell>
          <cell r="AA23">
            <v>1.7020997375328084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BE2H Overview"/>
      <sheetName val="Colo205"/>
      <sheetName val="PC3"/>
      <sheetName val="DLD1"/>
      <sheetName val="HCT116"/>
      <sheetName val="HCt116 Tetra"/>
      <sheetName val="PC9"/>
      <sheetName val="SUIT2"/>
      <sheetName val="SNU1 c13 WT"/>
      <sheetName val="SNU1 c12 Aneu"/>
      <sheetName val="DLD1 TetraAneu"/>
      <sheetName val="HCT116 TetraAneu"/>
      <sheetName val="SNU1 c13 try2"/>
      <sheetName val="SNU1 c12 Try2"/>
      <sheetName val="Cal51"/>
      <sheetName val="Cal51 AZ"/>
      <sheetName val="RKO"/>
      <sheetName val="SNU1 c13 try3"/>
      <sheetName val="SNU1 c12 try3"/>
      <sheetName val="SNU1 c13 Control try4"/>
      <sheetName val="SNU1 c24"/>
      <sheetName val="SNU1 c1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V6" t="str">
            <v>Day 3</v>
          </cell>
          <cell r="W6" t="str">
            <v>Day 6</v>
          </cell>
          <cell r="X6" t="str">
            <v>Day 9</v>
          </cell>
          <cell r="Y6" t="str">
            <v>Day 12</v>
          </cell>
          <cell r="Z6" t="str">
            <v>Day 15</v>
          </cell>
          <cell r="AA6" t="str">
            <v>Day 18</v>
          </cell>
        </row>
        <row r="7">
          <cell r="U7" t="str">
            <v xml:space="preserve"> ROSA26_g1</v>
          </cell>
          <cell r="V7">
            <v>1</v>
          </cell>
          <cell r="W7">
            <v>0.74189473684210527</v>
          </cell>
          <cell r="X7">
            <v>0.84738698300737414</v>
          </cell>
          <cell r="Y7">
            <v>0.89913250552815105</v>
          </cell>
          <cell r="Z7">
            <v>0.87938778905340209</v>
          </cell>
          <cell r="AA7">
            <v>0.96636197440585003</v>
          </cell>
        </row>
        <row r="9">
          <cell r="U9" t="str">
            <v xml:space="preserve"> CDK9_44</v>
          </cell>
          <cell r="V9">
            <v>1</v>
          </cell>
          <cell r="W9">
            <v>1.0353328938694792</v>
          </cell>
          <cell r="X9">
            <v>1.856501182033097</v>
          </cell>
          <cell r="Y9">
            <v>5.6537077033837289</v>
          </cell>
          <cell r="Z9">
            <v>6.9928762243989313</v>
          </cell>
          <cell r="AA9">
            <v>8.4805615550755942</v>
          </cell>
        </row>
        <row r="10">
          <cell r="U10" t="str">
            <v xml:space="preserve"> CDK9_771</v>
          </cell>
          <cell r="V10">
            <v>1</v>
          </cell>
          <cell r="W10">
            <v>0.91946197276652275</v>
          </cell>
          <cell r="X10">
            <v>1.5190672153635114</v>
          </cell>
          <cell r="Y10">
            <v>6.6232057416267942</v>
          </cell>
          <cell r="Z10">
            <v>25.995305164319248</v>
          </cell>
          <cell r="AA10">
            <v>53.757281553398052</v>
          </cell>
        </row>
        <row r="11">
          <cell r="U11" t="str">
            <v xml:space="preserve"> CDK9_774</v>
          </cell>
          <cell r="V11">
            <v>1</v>
          </cell>
          <cell r="W11">
            <v>1.0307799442896937</v>
          </cell>
          <cell r="X11">
            <v>1.2820024250822797</v>
          </cell>
          <cell r="Y11">
            <v>1.9673046251993622</v>
          </cell>
          <cell r="Z11">
            <v>2.1502033701336432</v>
          </cell>
          <cell r="AA11">
            <v>2.7687991021324354</v>
          </cell>
        </row>
        <row r="12">
          <cell r="U12" t="str">
            <v xml:space="preserve"> CDK9_913</v>
          </cell>
          <cell r="V12">
            <v>1</v>
          </cell>
          <cell r="W12">
            <v>0.95006570302233906</v>
          </cell>
          <cell r="X12">
            <v>1.4240693322828442</v>
          </cell>
          <cell r="Y12">
            <v>3.5615763546798025</v>
          </cell>
          <cell r="Z12">
            <v>4.0077605321507761</v>
          </cell>
          <cell r="AA12">
            <v>5.0665732305536091</v>
          </cell>
        </row>
        <row r="13">
          <cell r="U13" t="str">
            <v xml:space="preserve"> CDC7_E4</v>
          </cell>
          <cell r="V13">
            <v>1</v>
          </cell>
          <cell r="W13">
            <v>0.83580227662560436</v>
          </cell>
          <cell r="X13">
            <v>1.8194161575016972</v>
          </cell>
          <cell r="Y13">
            <v>3.0471859010801592</v>
          </cell>
          <cell r="Z13">
            <v>3.2524271844660193</v>
          </cell>
          <cell r="AA13">
            <v>3.979213066072754</v>
          </cell>
        </row>
        <row r="14">
          <cell r="U14" t="str">
            <v xml:space="preserve"> CDC7_E5</v>
          </cell>
          <cell r="V14">
            <v>1</v>
          </cell>
          <cell r="W14">
            <v>0.90966040224200462</v>
          </cell>
          <cell r="X14">
            <v>3.1387940841865758</v>
          </cell>
          <cell r="Y14">
            <v>8.9869706840390879</v>
          </cell>
          <cell r="Z14">
            <v>12.569476082004556</v>
          </cell>
          <cell r="AA14">
            <v>18.211221122112214</v>
          </cell>
        </row>
        <row r="15">
          <cell r="U15" t="str">
            <v xml:space="preserve"> CDC7_E6</v>
          </cell>
          <cell r="V15">
            <v>1</v>
          </cell>
          <cell r="W15">
            <v>1.1222888786340561</v>
          </cell>
          <cell r="X15">
            <v>2.9586374695863746</v>
          </cell>
          <cell r="Y15">
            <v>4.7407407407407405</v>
          </cell>
          <cell r="Z15">
            <v>8.4444444444444446</v>
          </cell>
          <cell r="AA15">
            <v>15.895424836601308</v>
          </cell>
        </row>
        <row r="16">
          <cell r="U16" t="str">
            <v xml:space="preserve"> CDC7_E7</v>
          </cell>
          <cell r="V16">
            <v>1</v>
          </cell>
          <cell r="W16">
            <v>0.87715701349735187</v>
          </cell>
          <cell r="X16">
            <v>1.7159090909090908</v>
          </cell>
          <cell r="Y16">
            <v>2.6355236139630391</v>
          </cell>
          <cell r="Z16">
            <v>2.7616998386229157</v>
          </cell>
          <cell r="AA16">
            <v>3.1496932515337424</v>
          </cell>
        </row>
        <row r="18">
          <cell r="U18" t="str">
            <v>UBE2H_ 236</v>
          </cell>
          <cell r="V18">
            <v>1</v>
          </cell>
          <cell r="W18">
            <v>0.96739828006674378</v>
          </cell>
          <cell r="X18">
            <v>1.1116519174041299</v>
          </cell>
          <cell r="Y18">
            <v>1.2637491616364855</v>
          </cell>
          <cell r="Z18">
            <v>1.177840287544929</v>
          </cell>
          <cell r="AA18">
            <v>1.5049920127795529</v>
          </cell>
        </row>
        <row r="19">
          <cell r="U19" t="str">
            <v>UBE2H_268</v>
          </cell>
          <cell r="V19">
            <v>1</v>
          </cell>
          <cell r="W19">
            <v>0.92832143357132857</v>
          </cell>
          <cell r="X19">
            <v>1.2047601744186047</v>
          </cell>
          <cell r="Y19">
            <v>1.6360720453984703</v>
          </cell>
          <cell r="Z19">
            <v>1.524367816091954</v>
          </cell>
          <cell r="AA19">
            <v>2.0657320872274143</v>
          </cell>
        </row>
        <row r="20">
          <cell r="U20" t="str">
            <v>UBE2H_301</v>
          </cell>
          <cell r="V20">
            <v>1</v>
          </cell>
          <cell r="W20">
            <v>0.92288861689106494</v>
          </cell>
          <cell r="X20">
            <v>1.0796105383734249</v>
          </cell>
          <cell r="Y20">
            <v>1.2663755458515285</v>
          </cell>
          <cell r="Z20">
            <v>1.197205462051445</v>
          </cell>
          <cell r="AA20">
            <v>1.4700721388184832</v>
          </cell>
        </row>
        <row r="21">
          <cell r="U21" t="str">
            <v>UBE2H_917</v>
          </cell>
          <cell r="V21">
            <v>1</v>
          </cell>
          <cell r="W21">
            <v>0.93969364371004704</v>
          </cell>
          <cell r="X21">
            <v>1.1044797278140062</v>
          </cell>
          <cell r="Y21">
            <v>1.3149367088607595</v>
          </cell>
          <cell r="Z21">
            <v>1.2639519792342635</v>
          </cell>
          <cell r="AA21">
            <v>1.6558979808714134</v>
          </cell>
        </row>
        <row r="23">
          <cell r="U23" t="str">
            <v>FOSL1_632</v>
          </cell>
          <cell r="V23">
            <v>1</v>
          </cell>
          <cell r="W23">
            <v>0.98073148974130242</v>
          </cell>
          <cell r="X23">
            <v>1.5993599068955486</v>
          </cell>
          <cell r="Y23">
            <v>1.944464096215069</v>
          </cell>
          <cell r="Z23">
            <v>1.9945573294629899</v>
          </cell>
          <cell r="AA23">
            <v>2.413081650570676</v>
          </cell>
        </row>
        <row r="24">
          <cell r="U24" t="str">
            <v>FOSL1_635</v>
          </cell>
          <cell r="V24">
            <v>1</v>
          </cell>
          <cell r="W24">
            <v>0.6930280957336109</v>
          </cell>
          <cell r="X24">
            <v>1.0003755163349606</v>
          </cell>
          <cell r="Y24">
            <v>1.1374893253629377</v>
          </cell>
          <cell r="Z24">
            <v>1.1118530884808013</v>
          </cell>
          <cell r="AA24">
            <v>1.283855421686747</v>
          </cell>
        </row>
        <row r="25">
          <cell r="U25" t="str">
            <v>FOSL1_636</v>
          </cell>
          <cell r="V25">
            <v>1</v>
          </cell>
          <cell r="W25">
            <v>0.81404644080700428</v>
          </cell>
          <cell r="X25">
            <v>1.2027559055118111</v>
          </cell>
          <cell r="Y25">
            <v>1.3917995444191344</v>
          </cell>
          <cell r="Z25">
            <v>1.4835241068331602</v>
          </cell>
          <cell r="AA25">
            <v>1.8145948239287231</v>
          </cell>
        </row>
        <row r="26">
          <cell r="U26" t="str">
            <v>FOSL1_KS1</v>
          </cell>
          <cell r="V26">
            <v>1</v>
          </cell>
          <cell r="W26">
            <v>0.81989247311827962</v>
          </cell>
          <cell r="X26">
            <v>1.4728370221327967</v>
          </cell>
          <cell r="Y26">
            <v>2.0584926884139483</v>
          </cell>
          <cell r="Z26">
            <v>2.4563758389261747</v>
          </cell>
          <cell r="AA26">
            <v>3.2972972972972974</v>
          </cell>
        </row>
      </sheetData>
      <sheetData sheetId="9">
        <row r="3">
          <cell r="V3" t="str">
            <v>Day 3</v>
          </cell>
          <cell r="W3" t="str">
            <v>Day 6</v>
          </cell>
          <cell r="X3" t="str">
            <v>Day 9</v>
          </cell>
          <cell r="Y3" t="str">
            <v>Day 12</v>
          </cell>
          <cell r="Z3" t="str">
            <v>Day 15</v>
          </cell>
          <cell r="AA3" t="str">
            <v>Day 18</v>
          </cell>
        </row>
        <row r="4">
          <cell r="U4" t="str">
            <v xml:space="preserve"> ROSA26_g1</v>
          </cell>
          <cell r="V4">
            <v>1</v>
          </cell>
          <cell r="W4">
            <v>0.80367100371747224</v>
          </cell>
          <cell r="X4">
            <v>0.85502410085279956</v>
          </cell>
          <cell r="Y4">
            <v>0.90514195996336522</v>
          </cell>
          <cell r="Z4">
            <v>0.90066397604478587</v>
          </cell>
          <cell r="AA4">
            <v>0.964719007111979</v>
          </cell>
        </row>
        <row r="6">
          <cell r="U6" t="str">
            <v xml:space="preserve"> CDK9_44</v>
          </cell>
          <cell r="V6">
            <v>1</v>
          </cell>
          <cell r="W6">
            <v>0.97930396577639045</v>
          </cell>
          <cell r="X6">
            <v>1.1660242290748899</v>
          </cell>
          <cell r="Y6">
            <v>2.4751607247223846</v>
          </cell>
          <cell r="Z6">
            <v>5.0177725118483414</v>
          </cell>
          <cell r="AA6">
            <v>7.0701168614357259</v>
          </cell>
        </row>
        <row r="7">
          <cell r="U7" t="str">
            <v xml:space="preserve"> CDK9_771</v>
          </cell>
          <cell r="V7">
            <v>1</v>
          </cell>
          <cell r="W7">
            <v>0.84554807570176538</v>
          </cell>
          <cell r="X7">
            <v>0.94051992088160485</v>
          </cell>
          <cell r="Y7">
            <v>1.6510416666666665</v>
          </cell>
          <cell r="Z7">
            <v>3.4120963608405939</v>
          </cell>
          <cell r="AA7">
            <v>5.4121951219512185</v>
          </cell>
        </row>
        <row r="8">
          <cell r="U8" t="str">
            <v xml:space="preserve"> CDK9_774</v>
          </cell>
          <cell r="V8">
            <v>1</v>
          </cell>
          <cell r="W8">
            <v>0.92508292348164234</v>
          </cell>
          <cell r="X8">
            <v>0.97645780514306402</v>
          </cell>
          <cell r="Y8">
            <v>1.2346206686002135</v>
          </cell>
          <cell r="Z8">
            <v>1.4859452507808193</v>
          </cell>
          <cell r="AA8">
            <v>1.8791821561338289</v>
          </cell>
        </row>
        <row r="9">
          <cell r="U9" t="str">
            <v xml:space="preserve"> CDK9_913</v>
          </cell>
          <cell r="V9">
            <v>1</v>
          </cell>
          <cell r="W9">
            <v>0.98755092802172939</v>
          </cell>
          <cell r="X9">
            <v>1.0320520402128919</v>
          </cell>
          <cell r="Y9">
            <v>1.3507739938080496</v>
          </cell>
          <cell r="Z9">
            <v>1.743804956035172</v>
          </cell>
          <cell r="AA9">
            <v>2.0464352720450281</v>
          </cell>
        </row>
        <row r="10">
          <cell r="U10" t="str">
            <v xml:space="preserve"> CDC7_E4</v>
          </cell>
          <cell r="V10">
            <v>1</v>
          </cell>
          <cell r="W10">
            <v>0.9537759458265862</v>
          </cell>
          <cell r="X10">
            <v>1.3577116512992458</v>
          </cell>
          <cell r="Y10">
            <v>2.5397883183065466</v>
          </cell>
          <cell r="Z10">
            <v>2.897584973166369</v>
          </cell>
          <cell r="AA10">
            <v>3.4628540887226085</v>
          </cell>
        </row>
        <row r="11">
          <cell r="U11" t="str">
            <v xml:space="preserve"> CDC7_E6</v>
          </cell>
          <cell r="V11">
            <v>1</v>
          </cell>
          <cell r="W11">
            <v>0.97089669638175147</v>
          </cell>
          <cell r="X11">
            <v>1.8205506391347099</v>
          </cell>
          <cell r="Y11">
            <v>3.7708757637474544</v>
          </cell>
          <cell r="Z11">
            <v>4.2223489167616881</v>
          </cell>
          <cell r="AA11">
            <v>6.2976190476190483</v>
          </cell>
        </row>
        <row r="12">
          <cell r="U12" t="str">
            <v xml:space="preserve"> CDC7_E7</v>
          </cell>
          <cell r="V12">
            <v>1</v>
          </cell>
          <cell r="W12">
            <v>1.075294117647059</v>
          </cell>
          <cell r="X12">
            <v>1.9262381454162276</v>
          </cell>
          <cell r="Y12">
            <v>2.645441389290883</v>
          </cell>
          <cell r="Z12">
            <v>2.8697017268445841</v>
          </cell>
          <cell r="AA12">
            <v>3.8083333333333336</v>
          </cell>
        </row>
        <row r="14">
          <cell r="U14" t="str">
            <v>UBE2H_ 236</v>
          </cell>
          <cell r="V14">
            <v>1</v>
          </cell>
          <cell r="W14">
            <v>0.97891016871865033</v>
          </cell>
          <cell r="X14">
            <v>1.1361471288700715</v>
          </cell>
          <cell r="Y14">
            <v>1.4128002632444883</v>
          </cell>
          <cell r="Z14">
            <v>2.0681599229287091</v>
          </cell>
          <cell r="AA14">
            <v>3.1225454545454547</v>
          </cell>
        </row>
        <row r="15">
          <cell r="U15" t="str">
            <v>UBE2H_268</v>
          </cell>
          <cell r="V15">
            <v>1</v>
          </cell>
          <cell r="W15">
            <v>0.85028179367802015</v>
          </cell>
          <cell r="X15">
            <v>1.0283004889613279</v>
          </cell>
          <cell r="Y15">
            <v>1.8068211403280399</v>
          </cell>
          <cell r="Z15">
            <v>2.2151292690711779</v>
          </cell>
          <cell r="AA15">
            <v>2.9025512337933921</v>
          </cell>
        </row>
        <row r="16">
          <cell r="U16" t="str">
            <v>UBE2H_301</v>
          </cell>
          <cell r="V16">
            <v>1</v>
          </cell>
          <cell r="W16">
            <v>0.90720961281708956</v>
          </cell>
          <cell r="X16">
            <v>0.99100631988332533</v>
          </cell>
          <cell r="Y16">
            <v>1.3464332892998681</v>
          </cell>
          <cell r="Z16">
            <v>1.6788140827671403</v>
          </cell>
          <cell r="AA16">
            <v>2.0838231535905956</v>
          </cell>
        </row>
        <row r="17">
          <cell r="U17" t="str">
            <v>UBE2H_917</v>
          </cell>
          <cell r="V17">
            <v>1</v>
          </cell>
          <cell r="W17">
            <v>0.9362000215540468</v>
          </cell>
          <cell r="X17">
            <v>1.0412321706820089</v>
          </cell>
          <cell r="Y17">
            <v>1.3466129282281816</v>
          </cell>
          <cell r="Z17">
            <v>1.5291321950360852</v>
          </cell>
          <cell r="AA17">
            <v>1.8361868526738534</v>
          </cell>
        </row>
        <row r="19">
          <cell r="U19" t="str">
            <v>FOSL1_632</v>
          </cell>
          <cell r="V19">
            <v>1</v>
          </cell>
          <cell r="W19">
            <v>0.88321557125716565</v>
          </cell>
          <cell r="X19">
            <v>1.0984911291659758</v>
          </cell>
          <cell r="Y19">
            <v>1.399450781580059</v>
          </cell>
          <cell r="Z19">
            <v>1.4192373607540703</v>
          </cell>
          <cell r="AA19">
            <v>1.6712916246215943</v>
          </cell>
        </row>
        <row r="20">
          <cell r="U20" t="str">
            <v>FOSL1_635</v>
          </cell>
          <cell r="V20">
            <v>1</v>
          </cell>
          <cell r="W20">
            <v>0.80249716231555057</v>
          </cell>
          <cell r="X20">
            <v>1.087931413497472</v>
          </cell>
          <cell r="Y20">
            <v>1.4135961153956014</v>
          </cell>
          <cell r="Z20">
            <v>1.3913410177115548</v>
          </cell>
          <cell r="AA20">
            <v>1.6799049558723693</v>
          </cell>
        </row>
        <row r="21">
          <cell r="U21" t="str">
            <v>FOSL1_636</v>
          </cell>
          <cell r="V21">
            <v>1</v>
          </cell>
          <cell r="W21">
            <v>0.85877166311948927</v>
          </cell>
          <cell r="X21">
            <v>1.2148387096774194</v>
          </cell>
          <cell r="Y21">
            <v>1.6752669039145909</v>
          </cell>
          <cell r="Z21">
            <v>1.683253873659118</v>
          </cell>
          <cell r="AA21">
            <v>2.088354898336414</v>
          </cell>
        </row>
        <row r="22">
          <cell r="U22" t="str">
            <v>FOSL1_KS1</v>
          </cell>
          <cell r="V22">
            <v>1</v>
          </cell>
          <cell r="W22">
            <v>0.73073106185908032</v>
          </cell>
          <cell r="X22">
            <v>1.1825481798715203</v>
          </cell>
          <cell r="Y22">
            <v>2.1572265625</v>
          </cell>
          <cell r="Z22">
            <v>2.3550106609808101</v>
          </cell>
          <cell r="AA22">
            <v>3.2224653537563821</v>
          </cell>
        </row>
        <row r="23">
          <cell r="U23" t="str">
            <v>FOSL1_634</v>
          </cell>
          <cell r="V23">
            <v>1</v>
          </cell>
          <cell r="W23">
            <v>1.0941190648349</v>
          </cell>
          <cell r="X23">
            <v>1.2794532130777905</v>
          </cell>
          <cell r="Y23">
            <v>1.3871657754010696</v>
          </cell>
          <cell r="Z23">
            <v>1.5427357689039933</v>
          </cell>
          <cell r="AA23">
            <v>1.7020997375328084</v>
          </cell>
        </row>
      </sheetData>
      <sheetData sheetId="10"/>
      <sheetData sheetId="11"/>
      <sheetData sheetId="12">
        <row r="6">
          <cell r="V6" t="str">
            <v>Day 3</v>
          </cell>
          <cell r="W6" t="str">
            <v>Day 6</v>
          </cell>
          <cell r="X6" t="str">
            <v>Day 9</v>
          </cell>
          <cell r="Y6" t="str">
            <v>Day 12</v>
          </cell>
          <cell r="Z6" t="str">
            <v>Day 15</v>
          </cell>
          <cell r="AA6" t="str">
            <v>Day 18</v>
          </cell>
        </row>
        <row r="7">
          <cell r="U7" t="str">
            <v xml:space="preserve"> ROSA26_g1</v>
          </cell>
          <cell r="V7">
            <v>1</v>
          </cell>
          <cell r="W7" t="e">
            <v>#DIV/0!</v>
          </cell>
          <cell r="X7" t="e">
            <v>#DIV/0!</v>
          </cell>
          <cell r="Y7">
            <v>1.9763503649635037</v>
          </cell>
          <cell r="Z7">
            <v>2.5747432483834158</v>
          </cell>
          <cell r="AA7">
            <v>2.6639118457300275</v>
          </cell>
        </row>
        <row r="8">
          <cell r="U8" t="str">
            <v>AAVS1_277</v>
          </cell>
          <cell r="V8">
            <v>1</v>
          </cell>
          <cell r="W8" t="e">
            <v>#DIV/0!</v>
          </cell>
          <cell r="X8" t="e">
            <v>#DIV/0!</v>
          </cell>
          <cell r="Y8">
            <v>1.935096153846154</v>
          </cell>
          <cell r="Z8">
            <v>2.629764065335753</v>
          </cell>
          <cell r="AA8">
            <v>2.8841560509554141</v>
          </cell>
        </row>
        <row r="9">
          <cell r="U9" t="str">
            <v xml:space="preserve"> AAVS1 g1</v>
          </cell>
          <cell r="V9">
            <v>1</v>
          </cell>
          <cell r="W9" t="e">
            <v>#DIV/0!</v>
          </cell>
          <cell r="X9" t="e">
            <v>#DIV/0!</v>
          </cell>
          <cell r="Y9">
            <v>1.8241892221409415</v>
          </cell>
          <cell r="Z9">
            <v>2.5061976549413734</v>
          </cell>
          <cell r="AA9">
            <v>2.7564480471628592</v>
          </cell>
        </row>
        <row r="10">
          <cell r="U10" t="str">
            <v xml:space="preserve"> AAVS1 g2</v>
          </cell>
          <cell r="V10">
            <v>1</v>
          </cell>
          <cell r="W10" t="e">
            <v>#DIV/0!</v>
          </cell>
          <cell r="X10" t="e">
            <v>#DIV/0!</v>
          </cell>
          <cell r="Y10">
            <v>1.4370247148288973</v>
          </cell>
          <cell r="Z10">
            <v>1.8657821659981488</v>
          </cell>
          <cell r="AA10">
            <v>1.9904542462146149</v>
          </cell>
        </row>
        <row r="12">
          <cell r="U12" t="str">
            <v xml:space="preserve"> CDK9_44</v>
          </cell>
          <cell r="V12">
            <v>1</v>
          </cell>
          <cell r="W12" t="e">
            <v>#DIV/0!</v>
          </cell>
          <cell r="X12" t="e">
            <v>#DIV/0!</v>
          </cell>
          <cell r="Y12">
            <v>5.4732272069464543</v>
          </cell>
          <cell r="Z12">
            <v>14.630560928433269</v>
          </cell>
          <cell r="AA12">
            <v>18.862842892768082</v>
          </cell>
        </row>
        <row r="13">
          <cell r="U13" t="str">
            <v xml:space="preserve"> CDK9_771</v>
          </cell>
          <cell r="V13">
            <v>1</v>
          </cell>
          <cell r="W13" t="e">
            <v>#DIV/0!</v>
          </cell>
          <cell r="X13" t="e">
            <v>#DIV/0!</v>
          </cell>
          <cell r="Y13">
            <v>5.4767025089605728</v>
          </cell>
          <cell r="Z13">
            <v>21.985611510791369</v>
          </cell>
          <cell r="AA13">
            <v>31.025380710659899</v>
          </cell>
        </row>
        <row r="14">
          <cell r="U14" t="str">
            <v xml:space="preserve"> CDK9_774</v>
          </cell>
          <cell r="V14">
            <v>1</v>
          </cell>
          <cell r="W14" t="e">
            <v>#DIV/0!</v>
          </cell>
          <cell r="X14" t="e">
            <v>#DIV/0!</v>
          </cell>
          <cell r="Y14">
            <v>1.9950336998935794</v>
          </cell>
          <cell r="Z14">
            <v>3.7719651240778003</v>
          </cell>
          <cell r="AA14">
            <v>5.2708528584817245</v>
          </cell>
        </row>
        <row r="15">
          <cell r="U15" t="str">
            <v xml:space="preserve"> CDK9_913</v>
          </cell>
          <cell r="V15">
            <v>1</v>
          </cell>
          <cell r="W15" t="e">
            <v>#DIV/0!</v>
          </cell>
          <cell r="X15" t="e">
            <v>#DIV/0!</v>
          </cell>
          <cell r="Y15">
            <v>3.5207126948775058</v>
          </cell>
          <cell r="Z15">
            <v>7.3117483811285853</v>
          </cell>
          <cell r="AA15">
            <v>9.4432497013142189</v>
          </cell>
        </row>
        <row r="16">
          <cell r="U16" t="str">
            <v xml:space="preserve"> CDC7_E4</v>
          </cell>
          <cell r="V16">
            <v>1</v>
          </cell>
          <cell r="W16" t="e">
            <v>#DIV/0!</v>
          </cell>
          <cell r="X16" t="e">
            <v>#DIV/0!</v>
          </cell>
          <cell r="Y16">
            <v>3.5957746478873238</v>
          </cell>
          <cell r="Z16">
            <v>4.8321766561514199</v>
          </cell>
          <cell r="AA16">
            <v>5.2675378266850075</v>
          </cell>
        </row>
        <row r="17">
          <cell r="U17" t="str">
            <v xml:space="preserve"> CDC7_E5</v>
          </cell>
          <cell r="V17">
            <v>1</v>
          </cell>
          <cell r="W17" t="e">
            <v>#DIV/0!</v>
          </cell>
          <cell r="X17" t="e">
            <v>#DIV/0!</v>
          </cell>
          <cell r="Y17">
            <v>6.6526005888125619</v>
          </cell>
          <cell r="Z17">
            <v>18.883008356545965</v>
          </cell>
          <cell r="AA17">
            <v>23.456747404844293</v>
          </cell>
        </row>
        <row r="18">
          <cell r="U18" t="str">
            <v xml:space="preserve"> CDC7_E6</v>
          </cell>
          <cell r="V18">
            <v>1</v>
          </cell>
          <cell r="W18" t="e">
            <v>#DIV/0!</v>
          </cell>
          <cell r="X18" t="e">
            <v>#DIV/0!</v>
          </cell>
          <cell r="Y18">
            <v>5.6987690079652422</v>
          </cell>
          <cell r="Z18">
            <v>13.051409618573798</v>
          </cell>
          <cell r="AA18">
            <v>17.071583514099782</v>
          </cell>
        </row>
        <row r="19">
          <cell r="U19" t="str">
            <v xml:space="preserve"> CDC7_E7</v>
          </cell>
          <cell r="V19">
            <v>1</v>
          </cell>
          <cell r="W19" t="e">
            <v>#DIV/0!</v>
          </cell>
          <cell r="X19" t="e">
            <v>#DIV/0!</v>
          </cell>
          <cell r="Y19">
            <v>3.040909090909091</v>
          </cell>
          <cell r="Z19">
            <v>4.1093366093366095</v>
          </cell>
          <cell r="AA19">
            <v>4.495967741935484</v>
          </cell>
        </row>
        <row r="21">
          <cell r="U21" t="str">
            <v>UBE2H_ 236</v>
          </cell>
          <cell r="V21">
            <v>1</v>
          </cell>
          <cell r="W21" t="e">
            <v>#DIV/0!</v>
          </cell>
          <cell r="X21" t="e">
            <v>#DIV/0!</v>
          </cell>
          <cell r="Y21">
            <v>2.2666130760986065</v>
          </cell>
          <cell r="Z21">
            <v>3.7084612012275322</v>
          </cell>
          <cell r="AA21">
            <v>4.3513374485596703</v>
          </cell>
        </row>
        <row r="22">
          <cell r="U22" t="str">
            <v>UBE2H_268</v>
          </cell>
          <cell r="V22">
            <v>1</v>
          </cell>
          <cell r="W22" t="e">
            <v>#DIV/0!</v>
          </cell>
          <cell r="X22" t="e">
            <v>#DIV/0!</v>
          </cell>
          <cell r="Y22">
            <v>2.4625514403292184</v>
          </cell>
          <cell r="Z22">
            <v>4.818035426731079</v>
          </cell>
          <cell r="AA22">
            <v>5.6990476190476196</v>
          </cell>
        </row>
        <row r="23">
          <cell r="U23" t="str">
            <v>UBE2H_301</v>
          </cell>
          <cell r="V23">
            <v>1</v>
          </cell>
          <cell r="W23" t="e">
            <v>#DIV/0!</v>
          </cell>
          <cell r="X23" t="e">
            <v>#DIV/0!</v>
          </cell>
          <cell r="Y23">
            <v>2.2091114883984151</v>
          </cell>
          <cell r="Z23">
            <v>3.8401377274963107</v>
          </cell>
          <cell r="AA23">
            <v>4.5815727699530511</v>
          </cell>
        </row>
        <row r="24">
          <cell r="U24" t="str">
            <v>UBE2H_917</v>
          </cell>
          <cell r="V24">
            <v>1</v>
          </cell>
          <cell r="W24" t="e">
            <v>#DIV/0!</v>
          </cell>
          <cell r="X24" t="e">
            <v>#DIV/0!</v>
          </cell>
          <cell r="Y24">
            <v>2.0902332735196105</v>
          </cell>
          <cell r="Z24">
            <v>3.2668269230769234</v>
          </cell>
          <cell r="AA24">
            <v>3.7960893854748607</v>
          </cell>
        </row>
      </sheetData>
      <sheetData sheetId="13">
        <row r="6">
          <cell r="V6" t="str">
            <v>Day 3</v>
          </cell>
          <cell r="W6" t="str">
            <v>Day 6</v>
          </cell>
          <cell r="X6" t="str">
            <v>Day 9</v>
          </cell>
          <cell r="Y6" t="str">
            <v>Day 12</v>
          </cell>
          <cell r="Z6" t="str">
            <v>Day 15</v>
          </cell>
          <cell r="AA6" t="str">
            <v>Day 18</v>
          </cell>
        </row>
        <row r="7">
          <cell r="U7" t="str">
            <v xml:space="preserve"> ROSA26_g1</v>
          </cell>
          <cell r="V7">
            <v>1</v>
          </cell>
          <cell r="W7">
            <v>1.3443917851500788</v>
          </cell>
          <cell r="X7" t="e">
            <v>#DIV/0!</v>
          </cell>
          <cell r="Y7">
            <v>1.7623608594356717</v>
          </cell>
          <cell r="Z7">
            <v>2.2708472314876582</v>
          </cell>
          <cell r="AA7">
            <v>2.5984732824427481</v>
          </cell>
        </row>
        <row r="8">
          <cell r="U8" t="str">
            <v>AAVS1_277</v>
          </cell>
          <cell r="V8">
            <v>1</v>
          </cell>
          <cell r="W8">
            <v>1.184728642355761</v>
          </cell>
          <cell r="X8" t="e">
            <v>#DIV/0!</v>
          </cell>
          <cell r="Y8">
            <v>1.8532404927691484</v>
          </cell>
          <cell r="Z8">
            <v>2.5036179450072358</v>
          </cell>
          <cell r="AA8">
            <v>2.9509594882729213</v>
          </cell>
        </row>
        <row r="9">
          <cell r="U9" t="str">
            <v xml:space="preserve"> AAVS1 g1</v>
          </cell>
          <cell r="V9">
            <v>1</v>
          </cell>
          <cell r="W9">
            <v>1.1658361881033947</v>
          </cell>
          <cell r="X9" t="e">
            <v>#DIV/0!</v>
          </cell>
          <cell r="Y9">
            <v>1.7558630393996248</v>
          </cell>
          <cell r="Z9">
            <v>2.405848329048843</v>
          </cell>
          <cell r="AA9">
            <v>2.8104354354354357</v>
          </cell>
        </row>
        <row r="10">
          <cell r="U10" t="str">
            <v xml:space="preserve"> AAVS1 g2</v>
          </cell>
          <cell r="V10">
            <v>1</v>
          </cell>
          <cell r="W10">
            <v>1.145792034600829</v>
          </cell>
          <cell r="X10" t="e">
            <v>#DIV/0!</v>
          </cell>
          <cell r="Y10">
            <v>1.5883087684236821</v>
          </cell>
          <cell r="Z10">
            <v>2.0948929159802305</v>
          </cell>
          <cell r="AA10">
            <v>2.425791682563907</v>
          </cell>
        </row>
        <row r="12">
          <cell r="U12" t="str">
            <v xml:space="preserve"> CDK9_44</v>
          </cell>
          <cell r="V12">
            <v>1</v>
          </cell>
          <cell r="W12">
            <v>1.3641186873649047</v>
          </cell>
          <cell r="X12" t="e">
            <v>#DIV/0!</v>
          </cell>
          <cell r="Y12">
            <v>3.3199426111908177</v>
          </cell>
          <cell r="Z12">
            <v>9.7774647887323951</v>
          </cell>
          <cell r="AA12">
            <v>14.929032258064515</v>
          </cell>
        </row>
        <row r="13">
          <cell r="U13" t="str">
            <v xml:space="preserve"> CDK9_771</v>
          </cell>
          <cell r="V13">
            <v>1</v>
          </cell>
          <cell r="W13">
            <v>1.0908800000000001</v>
          </cell>
          <cell r="X13" t="e">
            <v>#DIV/0!</v>
          </cell>
          <cell r="Y13">
            <v>3.7731045932484784</v>
          </cell>
          <cell r="Z13">
            <v>11.536379018612521</v>
          </cell>
          <cell r="AA13">
            <v>18.782369146005511</v>
          </cell>
        </row>
        <row r="14">
          <cell r="U14" t="str">
            <v xml:space="preserve"> CDK9_774</v>
          </cell>
          <cell r="V14">
            <v>1</v>
          </cell>
          <cell r="W14">
            <v>1.0647441334464236</v>
          </cell>
          <cell r="X14" t="e">
            <v>#DIV/0!</v>
          </cell>
          <cell r="Y14">
            <v>1.9968186638388121</v>
          </cell>
          <cell r="Z14">
            <v>3.1409507923269389</v>
          </cell>
          <cell r="AA14">
            <v>4.1316511245200216</v>
          </cell>
        </row>
        <row r="15">
          <cell r="U15" t="str">
            <v xml:space="preserve"> CDK9_913</v>
          </cell>
          <cell r="V15">
            <v>1</v>
          </cell>
          <cell r="W15">
            <v>1.0729385585362838</v>
          </cell>
          <cell r="X15" t="e">
            <v>#DIV/0!</v>
          </cell>
          <cell r="Y15">
            <v>2.5127388535031852</v>
          </cell>
          <cell r="Z15">
            <v>4.9396698918611275</v>
          </cell>
          <cell r="AA15">
            <v>6.7804687499999998</v>
          </cell>
        </row>
        <row r="16">
          <cell r="U16" t="str">
            <v xml:space="preserve"> CDC7_E4</v>
          </cell>
          <cell r="V16">
            <v>1</v>
          </cell>
          <cell r="W16">
            <v>1.448239060832444</v>
          </cell>
          <cell r="X16" t="e">
            <v>#DIV/0!</v>
          </cell>
          <cell r="Y16">
            <v>4.340085287846482</v>
          </cell>
          <cell r="Z16">
            <v>6.3165244375484875</v>
          </cell>
          <cell r="AA16">
            <v>7.6883852691218131</v>
          </cell>
        </row>
        <row r="17">
          <cell r="U17" t="str">
            <v xml:space="preserve"> CDC7_E5</v>
          </cell>
          <cell r="V17">
            <v>1</v>
          </cell>
          <cell r="W17">
            <v>1.5293200857198519</v>
          </cell>
          <cell r="X17" t="e">
            <v>#DIV/0!</v>
          </cell>
          <cell r="Y17">
            <v>8.076131687242798</v>
          </cell>
          <cell r="Z17">
            <v>17.02819956616052</v>
          </cell>
          <cell r="AA17">
            <v>21.506849315068493</v>
          </cell>
        </row>
        <row r="18">
          <cell r="U18" t="str">
            <v xml:space="preserve"> CDC7_E6</v>
          </cell>
          <cell r="V18">
            <v>1</v>
          </cell>
          <cell r="W18" t="e">
            <v>#DIV/0!</v>
          </cell>
          <cell r="X18" t="e">
            <v>#DIV/0!</v>
          </cell>
          <cell r="Y18">
            <v>4.6234263820470716</v>
          </cell>
          <cell r="Z18">
            <v>8.9009483667017903</v>
          </cell>
          <cell r="AA18">
            <v>12.067142857142857</v>
          </cell>
        </row>
        <row r="19">
          <cell r="U19" t="str">
            <v xml:space="preserve"> CDC7_E7</v>
          </cell>
          <cell r="V19">
            <v>1</v>
          </cell>
          <cell r="W19" t="e">
            <v>#DIV/0!</v>
          </cell>
          <cell r="X19" t="e">
            <v>#DIV/0!</v>
          </cell>
          <cell r="Y19">
            <v>2.9198743126472899</v>
          </cell>
          <cell r="Z19">
            <v>4.2675086107921922</v>
          </cell>
          <cell r="AA19">
            <v>5.0605854322668486</v>
          </cell>
        </row>
        <row r="21">
          <cell r="U21" t="str">
            <v>UBE2H_ 236</v>
          </cell>
          <cell r="V21">
            <v>1</v>
          </cell>
          <cell r="W21" t="e">
            <v>#DIV/0!</v>
          </cell>
          <cell r="X21" t="e">
            <v>#DIV/0!</v>
          </cell>
          <cell r="Y21">
            <v>3.1551408708379074</v>
          </cell>
          <cell r="Z21">
            <v>5.9223901098901104</v>
          </cell>
          <cell r="AA21">
            <v>8.7900101936799189</v>
          </cell>
        </row>
        <row r="22">
          <cell r="U22" t="str">
            <v>UBE2H_268</v>
          </cell>
          <cell r="V22">
            <v>1</v>
          </cell>
          <cell r="W22" t="e">
            <v>#DIV/0!</v>
          </cell>
          <cell r="X22" t="e">
            <v>#DIV/0!</v>
          </cell>
          <cell r="Y22">
            <v>2.733731973267675</v>
          </cell>
          <cell r="Z22">
            <v>5.7189109639440767</v>
          </cell>
          <cell r="AA22">
            <v>8.5594713656387658</v>
          </cell>
        </row>
        <row r="23">
          <cell r="U23" t="str">
            <v>UBE2H_301</v>
          </cell>
          <cell r="V23">
            <v>1</v>
          </cell>
          <cell r="W23" t="e">
            <v>#DIV/0!</v>
          </cell>
          <cell r="X23" t="e">
            <v>#DIV/0!</v>
          </cell>
          <cell r="Y23">
            <v>2.7063233376792701</v>
          </cell>
          <cell r="Z23">
            <v>4.75</v>
          </cell>
          <cell r="AA23">
            <v>7.0008431703204055</v>
          </cell>
        </row>
        <row r="24">
          <cell r="U24" t="str">
            <v>UBE2H_917</v>
          </cell>
          <cell r="V24">
            <v>1</v>
          </cell>
          <cell r="W24" t="e">
            <v>#DIV/0!</v>
          </cell>
          <cell r="X24" t="e">
            <v>#DIV/0!</v>
          </cell>
          <cell r="Y24">
            <v>1.9516274864376131</v>
          </cell>
          <cell r="Z24">
            <v>3.0412116942585419</v>
          </cell>
          <cell r="AA24">
            <v>4.289120715350224</v>
          </cell>
        </row>
      </sheetData>
      <sheetData sheetId="14"/>
      <sheetData sheetId="15"/>
      <sheetData sheetId="16"/>
      <sheetData sheetId="17">
        <row r="6">
          <cell r="V6" t="str">
            <v>Day 3</v>
          </cell>
          <cell r="W6" t="str">
            <v>Day 6</v>
          </cell>
          <cell r="X6" t="str">
            <v>Day 9</v>
          </cell>
          <cell r="Y6" t="str">
            <v>Day 12</v>
          </cell>
          <cell r="Z6" t="str">
            <v>Day 15</v>
          </cell>
          <cell r="AA6" t="str">
            <v>Day 18</v>
          </cell>
        </row>
        <row r="7">
          <cell r="U7" t="str">
            <v xml:space="preserve"> ROSA26_g1</v>
          </cell>
          <cell r="V7">
            <v>1</v>
          </cell>
          <cell r="W7">
            <v>0.94340444057466277</v>
          </cell>
          <cell r="X7">
            <v>1.0133270984334815</v>
          </cell>
          <cell r="Y7">
            <v>1.1129943502824859</v>
          </cell>
          <cell r="Z7">
            <v>1.2089260808926081</v>
          </cell>
          <cell r="AA7">
            <v>1.2983822648292391</v>
          </cell>
        </row>
        <row r="8">
          <cell r="U8" t="str">
            <v>AAVS1_277</v>
          </cell>
          <cell r="V8">
            <v>1</v>
          </cell>
          <cell r="W8">
            <v>0.88347659980897808</v>
          </cell>
          <cell r="X8">
            <v>0.96153846153846156</v>
          </cell>
          <cell r="Y8">
            <v>1.0591603053435115</v>
          </cell>
          <cell r="Z8">
            <v>1.1899656946826758</v>
          </cell>
          <cell r="AA8">
            <v>1.2973352033660588</v>
          </cell>
        </row>
        <row r="9">
          <cell r="U9" t="str">
            <v xml:space="preserve"> AAVS1 g1</v>
          </cell>
          <cell r="V9">
            <v>1</v>
          </cell>
          <cell r="W9">
            <v>0.89337030501638504</v>
          </cell>
          <cell r="X9">
            <v>0.94987938890377899</v>
          </cell>
          <cell r="Y9">
            <v>1.058542413381123</v>
          </cell>
          <cell r="Z9">
            <v>1.2229123533471358</v>
          </cell>
          <cell r="AA9">
            <v>1.4215804251905335</v>
          </cell>
        </row>
        <row r="10">
          <cell r="U10" t="str">
            <v xml:space="preserve"> AAVS1 g2</v>
          </cell>
          <cell r="V10">
            <v>1</v>
          </cell>
          <cell r="W10">
            <v>0.93005952380952384</v>
          </cell>
          <cell r="X10">
            <v>0.96030729833546746</v>
          </cell>
          <cell r="Y10">
            <v>1.0347682119205297</v>
          </cell>
          <cell r="Z10">
            <v>1.1127596439169138</v>
          </cell>
          <cell r="AA10">
            <v>1.2347711557458017</v>
          </cell>
        </row>
        <row r="12">
          <cell r="U12" t="str">
            <v xml:space="preserve"> CDK9_44</v>
          </cell>
          <cell r="V12">
            <v>1</v>
          </cell>
          <cell r="W12">
            <v>0.96142606662770314</v>
          </cell>
          <cell r="X12">
            <v>1.6794282797345583</v>
          </cell>
          <cell r="Y12">
            <v>4.363395225464191</v>
          </cell>
          <cell r="Z12">
            <v>9.7050147492625367</v>
          </cell>
          <cell r="AA12">
            <v>13.31983805668016</v>
          </cell>
        </row>
        <row r="13">
          <cell r="U13" t="str">
            <v xml:space="preserve"> CDK9_771</v>
          </cell>
          <cell r="V13">
            <v>1</v>
          </cell>
          <cell r="W13">
            <v>1.0046439628482973</v>
          </cell>
          <cell r="X13">
            <v>1.8367924528301887</v>
          </cell>
          <cell r="Y13">
            <v>5.3489010989010985</v>
          </cell>
          <cell r="Z13">
            <v>14.007194244604317</v>
          </cell>
          <cell r="AA13">
            <v>20.494736842105262</v>
          </cell>
        </row>
        <row r="14">
          <cell r="U14" t="str">
            <v xml:space="preserve"> CDK9_774</v>
          </cell>
          <cell r="V14">
            <v>1</v>
          </cell>
          <cell r="W14">
            <v>0.8632075471698113</v>
          </cell>
          <cell r="X14">
            <v>0.91557223264540344</v>
          </cell>
          <cell r="Y14">
            <v>1.1348837209302325</v>
          </cell>
          <cell r="Z14">
            <v>1.5930359085963004</v>
          </cell>
          <cell r="AA14">
            <v>2.4000000000000004</v>
          </cell>
        </row>
        <row r="15">
          <cell r="U15" t="str">
            <v xml:space="preserve"> CDK9_913</v>
          </cell>
          <cell r="V15">
            <v>1</v>
          </cell>
          <cell r="W15">
            <v>0.983204134366925</v>
          </cell>
          <cell r="X15">
            <v>1.3453152622274602</v>
          </cell>
          <cell r="Y15">
            <v>2.4364994663820703</v>
          </cell>
          <cell r="Z15">
            <v>4.3320683111954459</v>
          </cell>
          <cell r="AA15">
            <v>5.7074999999999996</v>
          </cell>
        </row>
        <row r="16">
          <cell r="U16" t="str">
            <v xml:space="preserve"> CDC7_E4</v>
          </cell>
          <cell r="V16">
            <v>1</v>
          </cell>
          <cell r="W16">
            <v>1.2647405660377358</v>
          </cell>
          <cell r="X16">
            <v>2.5087719298245612</v>
          </cell>
          <cell r="Y16">
            <v>3.3726415094339619</v>
          </cell>
          <cell r="Z16">
            <v>3.7764084507042255</v>
          </cell>
          <cell r="AA16">
            <v>4.2475247524752477</v>
          </cell>
        </row>
        <row r="17">
          <cell r="U17" t="str">
            <v xml:space="preserve"> CDC7_E5</v>
          </cell>
          <cell r="V17">
            <v>1</v>
          </cell>
          <cell r="W17">
            <v>1.3841354723707664</v>
          </cell>
          <cell r="X17">
            <v>4.7347560975609753</v>
          </cell>
          <cell r="Y17">
            <v>9.7062499999999989</v>
          </cell>
          <cell r="Z17">
            <v>13.504347826086956</v>
          </cell>
          <cell r="AA17">
            <v>15.376237623762375</v>
          </cell>
        </row>
        <row r="18">
          <cell r="U18" t="str">
            <v xml:space="preserve"> CDC7_E6</v>
          </cell>
          <cell r="V18">
            <v>1</v>
          </cell>
          <cell r="W18">
            <v>1.1805111821086263</v>
          </cell>
          <cell r="X18">
            <v>2.979838709677419</v>
          </cell>
          <cell r="Y18">
            <v>6.0326530612244893</v>
          </cell>
          <cell r="Z18">
            <v>8.6941176470588228</v>
          </cell>
          <cell r="AA18">
            <v>10.408450704225352</v>
          </cell>
        </row>
        <row r="19">
          <cell r="U19" t="str">
            <v xml:space="preserve"> CDC7_E7</v>
          </cell>
          <cell r="V19">
            <v>1</v>
          </cell>
          <cell r="W19">
            <v>1.0268256333830104</v>
          </cell>
          <cell r="X19">
            <v>1.6784409257003652</v>
          </cell>
          <cell r="Y19">
            <v>2.0175695461200585</v>
          </cell>
          <cell r="Z19">
            <v>2.3120805369127515</v>
          </cell>
          <cell r="AA19">
            <v>2.6148007590132827</v>
          </cell>
        </row>
        <row r="21">
          <cell r="U21" t="str">
            <v>UBE2H_ 236</v>
          </cell>
          <cell r="V21">
            <v>1</v>
          </cell>
          <cell r="W21">
            <v>0.93439817455790064</v>
          </cell>
          <cell r="X21">
            <v>1.3404255319148934</v>
          </cell>
          <cell r="Y21">
            <v>2.1355932203389831</v>
          </cell>
          <cell r="Z21">
            <v>3.0731707317073167</v>
          </cell>
          <cell r="AA21">
            <v>5.441860465116279</v>
          </cell>
        </row>
        <row r="22">
          <cell r="U22" t="str">
            <v>UBE2H_268</v>
          </cell>
          <cell r="V22">
            <v>1</v>
          </cell>
          <cell r="W22">
            <v>0.92962702322308233</v>
          </cell>
          <cell r="X22">
            <v>1.2415413533834587</v>
          </cell>
          <cell r="Y22">
            <v>1.7731543624161075</v>
          </cell>
          <cell r="Z22">
            <v>2.6740890688259107</v>
          </cell>
          <cell r="AA22">
            <v>4.4033333333333333</v>
          </cell>
        </row>
        <row r="23">
          <cell r="U23" t="str">
            <v>UBE2H_301</v>
          </cell>
          <cell r="V23">
            <v>1</v>
          </cell>
          <cell r="W23">
            <v>0.8885309278350515</v>
          </cell>
          <cell r="X23">
            <v>1.1103059581320451</v>
          </cell>
          <cell r="Y23">
            <v>1.5195592286501378</v>
          </cell>
          <cell r="Z23">
            <v>2.0234776228906819</v>
          </cell>
          <cell r="AA23">
            <v>2.89401888772298</v>
          </cell>
        </row>
        <row r="24">
          <cell r="U24" t="str">
            <v>UBE2H_917</v>
          </cell>
          <cell r="V24">
            <v>1</v>
          </cell>
          <cell r="W24">
            <v>0.89524365334111455</v>
          </cell>
          <cell r="X24">
            <v>1.0333445604580667</v>
          </cell>
          <cell r="Y24">
            <v>1.2740863787375416</v>
          </cell>
          <cell r="Z24">
            <v>1.6319148936170211</v>
          </cell>
          <cell r="AA24">
            <v>2.0970608339029391</v>
          </cell>
        </row>
      </sheetData>
      <sheetData sheetId="18">
        <row r="6">
          <cell r="V6" t="str">
            <v>Day 3</v>
          </cell>
          <cell r="W6" t="str">
            <v>Day 6</v>
          </cell>
          <cell r="X6" t="str">
            <v>Day 9</v>
          </cell>
          <cell r="Y6" t="str">
            <v>Day 12</v>
          </cell>
          <cell r="Z6" t="str">
            <v>Day 15</v>
          </cell>
          <cell r="AA6" t="str">
            <v>Day 18</v>
          </cell>
        </row>
        <row r="7">
          <cell r="U7" t="str">
            <v xml:space="preserve"> ROSA26_g1</v>
          </cell>
          <cell r="V7">
            <v>1</v>
          </cell>
          <cell r="W7">
            <v>0.8595890410958904</v>
          </cell>
          <cell r="X7">
            <v>0.98652442448062894</v>
          </cell>
          <cell r="Y7">
            <v>1.1394293125810635</v>
          </cell>
          <cell r="Z7">
            <v>1.2966789667896679</v>
          </cell>
          <cell r="AA7">
            <v>1.5318221447253704</v>
          </cell>
        </row>
        <row r="8">
          <cell r="U8" t="str">
            <v>AAVS1_277</v>
          </cell>
          <cell r="V8">
            <v>1</v>
          </cell>
          <cell r="W8">
            <v>0.94580777096114521</v>
          </cell>
          <cell r="X8">
            <v>1.1253041362530414</v>
          </cell>
          <cell r="Y8">
            <v>1.3888888888888888</v>
          </cell>
          <cell r="Z8">
            <v>1.6666666666666667</v>
          </cell>
          <cell r="AA8">
            <v>1.97228144989339</v>
          </cell>
        </row>
        <row r="9">
          <cell r="U9" t="str">
            <v xml:space="preserve"> AAVS1 g1</v>
          </cell>
          <cell r="V9">
            <v>1</v>
          </cell>
          <cell r="W9">
            <v>0.79538165490699164</v>
          </cell>
          <cell r="X9">
            <v>0.95752895752895761</v>
          </cell>
          <cell r="Y9">
            <v>1.0925110132158591</v>
          </cell>
          <cell r="Z9">
            <v>1.3177470775770457</v>
          </cell>
          <cell r="AA9">
            <v>1.5597484276729561</v>
          </cell>
        </row>
        <row r="10">
          <cell r="U10" t="str">
            <v xml:space="preserve"> AAVS1 g2</v>
          </cell>
          <cell r="V10">
            <v>1</v>
          </cell>
          <cell r="W10">
            <v>0.66246719160104983</v>
          </cell>
          <cell r="X10">
            <v>0.92862398822663716</v>
          </cell>
          <cell r="Y10">
            <v>1.0516666666666665</v>
          </cell>
          <cell r="Z10">
            <v>1.3326293558606124</v>
          </cell>
          <cell r="AA10">
            <v>1.5446756425948591</v>
          </cell>
        </row>
        <row r="12">
          <cell r="U12" t="str">
            <v xml:space="preserve"> CDK9_44</v>
          </cell>
          <cell r="V12">
            <v>1</v>
          </cell>
          <cell r="W12">
            <v>0.84950135992747056</v>
          </cell>
          <cell r="X12">
            <v>1.2280471821756225</v>
          </cell>
          <cell r="Y12">
            <v>2.0776053215077606</v>
          </cell>
          <cell r="Z12">
            <v>3.9535864978902948</v>
          </cell>
          <cell r="AA12">
            <v>6.4620689655172407</v>
          </cell>
        </row>
        <row r="13">
          <cell r="U13" t="str">
            <v xml:space="preserve"> CDK9_771</v>
          </cell>
          <cell r="V13">
            <v>1</v>
          </cell>
          <cell r="W13">
            <v>0.99069767441860457</v>
          </cell>
          <cell r="X13">
            <v>1.3284823284823286</v>
          </cell>
          <cell r="Y13">
            <v>2.4482758620689653</v>
          </cell>
          <cell r="Z13">
            <v>4.9153846153846148</v>
          </cell>
          <cell r="AA13">
            <v>9.1285714285714281</v>
          </cell>
        </row>
        <row r="14">
          <cell r="U14" t="str">
            <v xml:space="preserve"> CDK9_774</v>
          </cell>
          <cell r="V14">
            <v>1</v>
          </cell>
          <cell r="W14">
            <v>0.77115384615384608</v>
          </cell>
          <cell r="X14">
            <v>0.8354166666666667</v>
          </cell>
          <cell r="Y14">
            <v>0.9479905437352244</v>
          </cell>
          <cell r="Z14">
            <v>1.1424501424501425</v>
          </cell>
          <cell r="AA14">
            <v>1.3639455782312924</v>
          </cell>
        </row>
        <row r="15">
          <cell r="U15" t="str">
            <v xml:space="preserve"> CDK9_913</v>
          </cell>
          <cell r="V15">
            <v>1</v>
          </cell>
          <cell r="W15">
            <v>0.8335435056746533</v>
          </cell>
          <cell r="X15">
            <v>1.0216383307573416</v>
          </cell>
          <cell r="Y15">
            <v>1.4063829787234043</v>
          </cell>
          <cell r="Z15">
            <v>2.0984126984126985</v>
          </cell>
          <cell r="AA15">
            <v>2.8864628820960698</v>
          </cell>
        </row>
        <row r="16">
          <cell r="U16" t="str">
            <v xml:space="preserve"> CDC7_E4</v>
          </cell>
          <cell r="V16">
            <v>1</v>
          </cell>
          <cell r="W16">
            <v>1.3128964059196615</v>
          </cell>
          <cell r="X16">
            <v>2.397683397683398</v>
          </cell>
          <cell r="Y16">
            <v>3.7185628742514973</v>
          </cell>
          <cell r="Z16">
            <v>4.0324675324675328</v>
          </cell>
          <cell r="AA16">
            <v>5.0901639344262293</v>
          </cell>
        </row>
        <row r="17">
          <cell r="U17" t="str">
            <v xml:space="preserve"> CDC7_E5</v>
          </cell>
          <cell r="V17">
            <v>1</v>
          </cell>
          <cell r="W17">
            <v>1.3081081081081081</v>
          </cell>
          <cell r="X17">
            <v>2.5608465608465609</v>
          </cell>
          <cell r="Y17">
            <v>4.7920792079207919</v>
          </cell>
          <cell r="Z17">
            <v>7.9344262295081966</v>
          </cell>
          <cell r="AA17">
            <v>9.8775510204081627</v>
          </cell>
        </row>
        <row r="18">
          <cell r="U18" t="str">
            <v xml:space="preserve"> CDC7_E6</v>
          </cell>
          <cell r="V18">
            <v>1</v>
          </cell>
          <cell r="W18">
            <v>1.0467091295116773</v>
          </cell>
          <cell r="X18">
            <v>1.6768707482993197</v>
          </cell>
          <cell r="Y18">
            <v>3.3537414965986394</v>
          </cell>
          <cell r="Z18">
            <v>4.6509433962264142</v>
          </cell>
          <cell r="AA18">
            <v>5.8</v>
          </cell>
        </row>
        <row r="19">
          <cell r="U19" t="str">
            <v xml:space="preserve"> CDC7_E7</v>
          </cell>
          <cell r="V19">
            <v>1</v>
          </cell>
          <cell r="W19">
            <v>1.1031390134529149</v>
          </cell>
          <cell r="X19">
            <v>1.7446808510638299</v>
          </cell>
          <cell r="Y19">
            <v>2.2990654205607477</v>
          </cell>
          <cell r="Z19">
            <v>2.6451612903225805</v>
          </cell>
          <cell r="AA19">
            <v>3.0749999999999997</v>
          </cell>
        </row>
        <row r="21">
          <cell r="U21" t="str">
            <v>UBE2H_ 236</v>
          </cell>
          <cell r="V21">
            <v>1</v>
          </cell>
          <cell r="W21">
            <v>1.0717131474103587</v>
          </cell>
          <cell r="X21">
            <v>2.0456273764258555</v>
          </cell>
          <cell r="Y21">
            <v>3.5629139072847682</v>
          </cell>
          <cell r="Z21">
            <v>5.0754716981132075</v>
          </cell>
          <cell r="AA21">
            <v>7.2702702702702702</v>
          </cell>
        </row>
        <row r="22">
          <cell r="U22" t="str">
            <v>UBE2H_268</v>
          </cell>
          <cell r="V22">
            <v>1</v>
          </cell>
          <cell r="W22">
            <v>1.0294117647058825</v>
          </cell>
          <cell r="X22">
            <v>1.4957264957264957</v>
          </cell>
          <cell r="Y22">
            <v>2.3755656108597285</v>
          </cell>
          <cell r="Z22">
            <v>3.3018867924528301</v>
          </cell>
          <cell r="AA22">
            <v>4.338842975206612</v>
          </cell>
        </row>
        <row r="23">
          <cell r="U23" t="str">
            <v>UBE2H_301</v>
          </cell>
          <cell r="V23">
            <v>1</v>
          </cell>
          <cell r="W23">
            <v>0.89157706093189959</v>
          </cell>
          <cell r="X23">
            <v>1.2344913151364763</v>
          </cell>
          <cell r="Y23">
            <v>1.8667917448405251</v>
          </cell>
          <cell r="Z23">
            <v>2.8107344632768361</v>
          </cell>
          <cell r="AA23">
            <v>3.9799999999999995</v>
          </cell>
        </row>
        <row r="24">
          <cell r="U24" t="str">
            <v>UBE2H_917</v>
          </cell>
          <cell r="V24">
            <v>1</v>
          </cell>
          <cell r="W24">
            <v>0.84306826178747363</v>
          </cell>
          <cell r="X24">
            <v>0.96070569366479552</v>
          </cell>
          <cell r="Y24">
            <v>1.1486097794822627</v>
          </cell>
          <cell r="Z24">
            <v>1.3995327102803738</v>
          </cell>
          <cell r="AA24">
            <v>1.7237410071942447</v>
          </cell>
        </row>
      </sheetData>
      <sheetData sheetId="19">
        <row r="6">
          <cell r="V6" t="str">
            <v>Day 3</v>
          </cell>
          <cell r="W6" t="str">
            <v>Day 6</v>
          </cell>
          <cell r="X6" t="str">
            <v>Day 9</v>
          </cell>
          <cell r="Y6" t="str">
            <v>Day 12</v>
          </cell>
          <cell r="Z6" t="str">
            <v>Day 15</v>
          </cell>
          <cell r="AA6" t="str">
            <v>Day 18</v>
          </cell>
        </row>
        <row r="7">
          <cell r="U7" t="str">
            <v>ROSA_g1</v>
          </cell>
          <cell r="V7">
            <v>1</v>
          </cell>
          <cell r="W7">
            <v>0.87731219328048315</v>
          </cell>
          <cell r="X7">
            <v>1.0201931518876206</v>
          </cell>
          <cell r="Y7">
            <v>0.97935103244837751</v>
          </cell>
          <cell r="Z7">
            <v>1.0680147058823528</v>
          </cell>
          <cell r="AA7">
            <v>1.1331058020477813</v>
          </cell>
        </row>
        <row r="8">
          <cell r="U8" t="str">
            <v>AAVS1_277</v>
          </cell>
          <cell r="V8">
            <v>1</v>
          </cell>
          <cell r="W8">
            <v>0.84593023255813959</v>
          </cell>
          <cell r="X8">
            <v>0.90560165975103735</v>
          </cell>
          <cell r="Y8">
            <v>1.0147229755908564</v>
          </cell>
          <cell r="Z8">
            <v>1.113994045087197</v>
          </cell>
          <cell r="AA8">
            <v>1.2187063750581668</v>
          </cell>
        </row>
        <row r="9">
          <cell r="U9" t="str">
            <v>AAVS1 g1</v>
          </cell>
          <cell r="V9">
            <v>1</v>
          </cell>
          <cell r="W9">
            <v>0.86243262245137087</v>
          </cell>
          <cell r="X9">
            <v>0.89712335446123825</v>
          </cell>
          <cell r="Y9">
            <v>1.0137741046831956</v>
          </cell>
          <cell r="Z9">
            <v>1.167883211678832</v>
          </cell>
          <cell r="AA9">
            <v>1.2711571675302245</v>
          </cell>
        </row>
        <row r="10">
          <cell r="U10" t="str">
            <v>AAVS1 g2</v>
          </cell>
          <cell r="V10">
            <v>1</v>
          </cell>
          <cell r="W10">
            <v>0.86419753086419759</v>
          </cell>
          <cell r="X10">
            <v>0.89983022071307306</v>
          </cell>
          <cell r="Y10">
            <v>0.96263622210690203</v>
          </cell>
          <cell r="Z10">
            <v>1.0474308300395256</v>
          </cell>
          <cell r="AA10">
            <v>1.1362940275650844</v>
          </cell>
        </row>
        <row r="12">
          <cell r="U12" t="str">
            <v>CDK9_ 44</v>
          </cell>
          <cell r="V12">
            <v>1</v>
          </cell>
          <cell r="W12">
            <v>0.93646996278575223</v>
          </cell>
          <cell r="X12">
            <v>1.3170093457943923</v>
          </cell>
          <cell r="Y12">
            <v>3.4607072691552059</v>
          </cell>
          <cell r="Z12">
            <v>8.5096618357487923</v>
          </cell>
          <cell r="AA12">
            <v>11.98299319727891</v>
          </cell>
        </row>
        <row r="13">
          <cell r="U13" t="str">
            <v>CDK9_771</v>
          </cell>
          <cell r="V13">
            <v>1</v>
          </cell>
          <cell r="W13">
            <v>0.97622377622377632</v>
          </cell>
          <cell r="X13">
            <v>1.6045977011494252</v>
          </cell>
          <cell r="Y13">
            <v>4.3534303534303538</v>
          </cell>
          <cell r="Z13">
            <v>10.214634146341465</v>
          </cell>
          <cell r="AA13">
            <v>15.064748201438851</v>
          </cell>
        </row>
        <row r="14">
          <cell r="U14" t="str">
            <v>CDK9_774</v>
          </cell>
          <cell r="V14">
            <v>1</v>
          </cell>
          <cell r="W14">
            <v>0.82207578253706759</v>
          </cell>
          <cell r="X14">
            <v>0.86481802426343168</v>
          </cell>
          <cell r="Y14">
            <v>1.0246406570841891</v>
          </cell>
          <cell r="Z14">
            <v>1.4056338028169013</v>
          </cell>
          <cell r="AA14">
            <v>2.1203966005665724</v>
          </cell>
        </row>
        <row r="15">
          <cell r="U15" t="str">
            <v>CDK9_913</v>
          </cell>
          <cell r="V15">
            <v>1</v>
          </cell>
          <cell r="W15">
            <v>0.9179136383069687</v>
          </cell>
          <cell r="X15">
            <v>1.1719432314410481</v>
          </cell>
          <cell r="Y15">
            <v>1.9972093023255812</v>
          </cell>
          <cell r="Z15">
            <v>3.6890034364261166</v>
          </cell>
          <cell r="AA15">
            <v>5.7253333333333334</v>
          </cell>
        </row>
        <row r="16">
          <cell r="U16" t="str">
            <v>CDC7_E4</v>
          </cell>
          <cell r="V16">
            <v>1</v>
          </cell>
          <cell r="W16">
            <v>1.1888185654008439</v>
          </cell>
          <cell r="X16">
            <v>1.9894086496028243</v>
          </cell>
          <cell r="Y16">
            <v>3.0542005420054199</v>
          </cell>
          <cell r="Z16">
            <v>3.5109034267912773</v>
          </cell>
          <cell r="AA16">
            <v>3.9543859649122806</v>
          </cell>
        </row>
        <row r="17">
          <cell r="U17" t="str">
            <v>CDC7_E5</v>
          </cell>
          <cell r="V17">
            <v>1</v>
          </cell>
          <cell r="W17">
            <v>1.3177762525737817</v>
          </cell>
          <cell r="X17">
            <v>3.8631790744466801</v>
          </cell>
          <cell r="Y17">
            <v>10.607734806629834</v>
          </cell>
          <cell r="Z17">
            <v>12.307692307692307</v>
          </cell>
          <cell r="AA17">
            <v>13.617021276595745</v>
          </cell>
        </row>
        <row r="18">
          <cell r="U18" t="str">
            <v>CDC7_E6</v>
          </cell>
          <cell r="V18">
            <v>1</v>
          </cell>
          <cell r="W18">
            <v>1.2337192474674386</v>
          </cell>
          <cell r="X18">
            <v>2.6682316118935838</v>
          </cell>
          <cell r="Y18">
            <v>5.9201388888888893</v>
          </cell>
          <cell r="Z18">
            <v>9.117647058823529</v>
          </cell>
          <cell r="AA18">
            <v>10.148809523809524</v>
          </cell>
        </row>
        <row r="19">
          <cell r="U19" t="str">
            <v>CDC7_E7</v>
          </cell>
          <cell r="V19">
            <v>1</v>
          </cell>
          <cell r="W19">
            <v>1.1477799867461895</v>
          </cell>
          <cell r="X19">
            <v>1.5933762649494021</v>
          </cell>
          <cell r="Y19">
            <v>2.0817307692307692</v>
          </cell>
          <cell r="Z19">
            <v>2.4325842696629212</v>
          </cell>
          <cell r="AA19">
            <v>2.6646153846153848</v>
          </cell>
        </row>
        <row r="21">
          <cell r="U21" t="str">
            <v>UBE2H_236</v>
          </cell>
          <cell r="V21">
            <v>1</v>
          </cell>
          <cell r="W21">
            <v>0.89962358845671275</v>
          </cell>
          <cell r="X21">
            <v>1.1053442959917781</v>
          </cell>
          <cell r="Y21">
            <v>1.7346774193548389</v>
          </cell>
          <cell r="Z21">
            <v>2.4924681344148318</v>
          </cell>
          <cell r="AA21">
            <v>3.3400621118012421</v>
          </cell>
        </row>
        <row r="22">
          <cell r="U22" t="str">
            <v>UBE2H_268</v>
          </cell>
          <cell r="V22">
            <v>1</v>
          </cell>
          <cell r="W22">
            <v>0.91237830319888724</v>
          </cell>
          <cell r="X22">
            <v>1.0942452043369473</v>
          </cell>
          <cell r="Y22">
            <v>1.601953601953602</v>
          </cell>
          <cell r="Z22">
            <v>2.2977232924693518</v>
          </cell>
          <cell r="AA22">
            <v>3.28</v>
          </cell>
        </row>
        <row r="23">
          <cell r="U23" t="str">
            <v>UBE2H_301</v>
          </cell>
          <cell r="V23">
            <v>1</v>
          </cell>
          <cell r="W23">
            <v>0.87533712915792639</v>
          </cell>
          <cell r="X23">
            <v>0.94622610949141561</v>
          </cell>
          <cell r="Y23">
            <v>1.2345731191885039</v>
          </cell>
          <cell r="Z23">
            <v>1.8267667292057537</v>
          </cell>
          <cell r="AA23">
            <v>2.7401500938086305</v>
          </cell>
        </row>
        <row r="24">
          <cell r="U24" t="str">
            <v>UBE2H_917</v>
          </cell>
          <cell r="V24">
            <v>1</v>
          </cell>
          <cell r="W24">
            <v>0.85385018334206397</v>
          </cell>
          <cell r="X24">
            <v>0.91856861087630315</v>
          </cell>
          <cell r="Y24">
            <v>1.1867491809246451</v>
          </cell>
          <cell r="Z24">
            <v>1.5016121602947949</v>
          </cell>
          <cell r="AA24">
            <v>1.9042056074766356</v>
          </cell>
        </row>
      </sheetData>
      <sheetData sheetId="20">
        <row r="6">
          <cell r="V6" t="str">
            <v>Day 3</v>
          </cell>
          <cell r="W6" t="str">
            <v>Day 6</v>
          </cell>
          <cell r="X6" t="str">
            <v>Day 9</v>
          </cell>
          <cell r="Y6" t="str">
            <v>Day 12</v>
          </cell>
          <cell r="Z6" t="str">
            <v>Day 15</v>
          </cell>
          <cell r="AA6" t="str">
            <v>Day 18</v>
          </cell>
        </row>
        <row r="7">
          <cell r="U7" t="str">
            <v>ROSA_g1</v>
          </cell>
          <cell r="V7">
            <v>1</v>
          </cell>
          <cell r="W7">
            <v>0.83335778201554933</v>
          </cell>
          <cell r="X7">
            <v>0.99075688873386814</v>
          </cell>
          <cell r="Y7">
            <v>0.97527896995708163</v>
          </cell>
          <cell r="Z7">
            <v>1.0325336241366776</v>
          </cell>
          <cell r="AA7">
            <v>1.0941833590138674</v>
          </cell>
        </row>
        <row r="8">
          <cell r="U8" t="str">
            <v>AAVS1_277</v>
          </cell>
          <cell r="V8">
            <v>1</v>
          </cell>
          <cell r="W8">
            <v>0.80671882190520017</v>
          </cell>
          <cell r="X8">
            <v>0.97199889104518999</v>
          </cell>
          <cell r="Y8">
            <v>0.9920769666100735</v>
          </cell>
          <cell r="Z8">
            <v>1.0394307737918769</v>
          </cell>
          <cell r="AA8">
            <v>1.0797659377887281</v>
          </cell>
        </row>
        <row r="9">
          <cell r="U9" t="str">
            <v>AAVS1 g1</v>
          </cell>
          <cell r="V9">
            <v>1</v>
          </cell>
          <cell r="W9">
            <v>0.82795507220538411</v>
          </cell>
          <cell r="X9">
            <v>1.0805025593299209</v>
          </cell>
          <cell r="Y9">
            <v>0.99571183533447682</v>
          </cell>
          <cell r="Z9">
            <v>1.0583409298085686</v>
          </cell>
          <cell r="AA9">
            <v>1.1444061113849187</v>
          </cell>
        </row>
        <row r="10">
          <cell r="U10" t="str">
            <v>AAVS1 g2</v>
          </cell>
          <cell r="V10">
            <v>1</v>
          </cell>
          <cell r="W10">
            <v>0.80272882319499705</v>
          </cell>
          <cell r="X10">
            <v>1.1132720105124836</v>
          </cell>
          <cell r="Y10">
            <v>0.96207131501249143</v>
          </cell>
          <cell r="Z10">
            <v>0.98055555555555551</v>
          </cell>
          <cell r="AA10">
            <v>1.0234356124667794</v>
          </cell>
        </row>
        <row r="12">
          <cell r="U12" t="str">
            <v>CDK9_ 44</v>
          </cell>
          <cell r="V12">
            <v>1</v>
          </cell>
          <cell r="W12">
            <v>0.92092950717404853</v>
          </cell>
          <cell r="X12">
            <v>1.1247619047619046</v>
          </cell>
          <cell r="Y12">
            <v>1.7408608490566035</v>
          </cell>
          <cell r="Z12">
            <v>2.7658079625292737</v>
          </cell>
          <cell r="AA12">
            <v>4.2635379061371843</v>
          </cell>
        </row>
        <row r="13">
          <cell r="U13" t="str">
            <v>CDK9_771</v>
          </cell>
          <cell r="V13">
            <v>1</v>
          </cell>
          <cell r="W13">
            <v>0.86627785877942109</v>
          </cell>
          <cell r="X13">
            <v>1.0732903225806452</v>
          </cell>
          <cell r="Y13">
            <v>1.7101151315789476</v>
          </cell>
          <cell r="Z13">
            <v>2.9559346126510309</v>
          </cell>
          <cell r="AA13">
            <v>4.615982241953386</v>
          </cell>
        </row>
        <row r="14">
          <cell r="U14" t="str">
            <v>CDK9_774</v>
          </cell>
          <cell r="V14">
            <v>1</v>
          </cell>
          <cell r="W14">
            <v>0.80631467232687726</v>
          </cell>
          <cell r="X14">
            <v>1.0277308082516063</v>
          </cell>
          <cell r="Y14">
            <v>1.2040412044374011</v>
          </cell>
          <cell r="Z14">
            <v>1.4069444444444443</v>
          </cell>
          <cell r="AA14">
            <v>1.6588427947598254</v>
          </cell>
        </row>
        <row r="15">
          <cell r="U15" t="str">
            <v>CDK9_913</v>
          </cell>
          <cell r="V15">
            <v>1</v>
          </cell>
          <cell r="W15">
            <v>0.88346825734980827</v>
          </cell>
          <cell r="X15">
            <v>1.1774559909142532</v>
          </cell>
          <cell r="Y15">
            <v>1.6017767477790652</v>
          </cell>
          <cell r="Z15">
            <v>1.9985542168674699</v>
          </cell>
          <cell r="AA15">
            <v>2.6180555555555554</v>
          </cell>
        </row>
        <row r="16">
          <cell r="U16" t="str">
            <v>CDC7_E4</v>
          </cell>
          <cell r="V16">
            <v>1</v>
          </cell>
          <cell r="W16">
            <v>0.99923195084485406</v>
          </cell>
          <cell r="X16">
            <v>1.9118295371050698</v>
          </cell>
          <cell r="Y16">
            <v>2.9219539584503091</v>
          </cell>
          <cell r="Z16">
            <v>3.7251252684323548</v>
          </cell>
          <cell r="AA16">
            <v>4.1799196787148594</v>
          </cell>
        </row>
        <row r="17">
          <cell r="U17" t="str">
            <v>CDC7_E5</v>
          </cell>
          <cell r="V17">
            <v>1</v>
          </cell>
          <cell r="W17">
            <v>1.0176155220832268</v>
          </cell>
          <cell r="X17">
            <v>2.1901098901098903</v>
          </cell>
          <cell r="Y17">
            <v>3.6269335759781618</v>
          </cell>
          <cell r="Z17">
            <v>5.3217623497997328</v>
          </cell>
          <cell r="AA17">
            <v>7.1561938958707358</v>
          </cell>
        </row>
        <row r="18">
          <cell r="U18" t="str">
            <v>CDC7_E6</v>
          </cell>
          <cell r="V18">
            <v>1</v>
          </cell>
          <cell r="W18">
            <v>0.88740644321509921</v>
          </cell>
          <cell r="X18">
            <v>1.6319569120287252</v>
          </cell>
          <cell r="Y18">
            <v>2.2537190082644627</v>
          </cell>
          <cell r="Z18">
            <v>3.0066152149944871</v>
          </cell>
          <cell r="AA18">
            <v>3.8626062322946177</v>
          </cell>
        </row>
        <row r="19">
          <cell r="U19" t="str">
            <v>CDC7_E7</v>
          </cell>
          <cell r="V19">
            <v>1</v>
          </cell>
          <cell r="W19">
            <v>0.90460194827007057</v>
          </cell>
          <cell r="X19">
            <v>1.431685273790537</v>
          </cell>
          <cell r="Y19">
            <v>1.9948148148148148</v>
          </cell>
          <cell r="Z19">
            <v>2.2725738396624471</v>
          </cell>
          <cell r="AA19">
            <v>2.5526066350710899</v>
          </cell>
        </row>
        <row r="21">
          <cell r="U21" t="str">
            <v>UBE2H_236</v>
          </cell>
          <cell r="V21">
            <v>1</v>
          </cell>
          <cell r="W21">
            <v>1.023126161470163</v>
          </cell>
          <cell r="X21">
            <v>1.4173340961098397</v>
          </cell>
          <cell r="Y21">
            <v>2.2339945897204689</v>
          </cell>
          <cell r="Z21">
            <v>3.8351393188854486</v>
          </cell>
          <cell r="AA21">
            <v>5.4630650496141122</v>
          </cell>
        </row>
        <row r="22">
          <cell r="U22" t="str">
            <v>UBE2H_268</v>
          </cell>
          <cell r="V22">
            <v>1</v>
          </cell>
          <cell r="W22">
            <v>1.0613048368953881</v>
          </cell>
          <cell r="X22">
            <v>1.3921062338620436</v>
          </cell>
          <cell r="Y22">
            <v>2.1727115716753023</v>
          </cell>
          <cell r="Z22">
            <v>3.126760563380282</v>
          </cell>
          <cell r="AA22">
            <v>4.0537056928034367</v>
          </cell>
        </row>
        <row r="23">
          <cell r="U23" t="str">
            <v>UBE2H_301</v>
          </cell>
          <cell r="V23">
            <v>1</v>
          </cell>
          <cell r="W23">
            <v>0.94850218781555029</v>
          </cell>
          <cell r="X23">
            <v>1.4107634543178973</v>
          </cell>
          <cell r="Y23">
            <v>1.5294436906377205</v>
          </cell>
          <cell r="Z23">
            <v>2.1569077688480673</v>
          </cell>
          <cell r="AA23">
            <v>2.7600391772771791</v>
          </cell>
        </row>
        <row r="24">
          <cell r="U24" t="str">
            <v>UBE2H_917</v>
          </cell>
          <cell r="V24">
            <v>1</v>
          </cell>
          <cell r="W24">
            <v>1.0455681599692368</v>
          </cell>
          <cell r="X24">
            <v>1.3728856349406717</v>
          </cell>
          <cell r="Y24">
            <v>1.660965180207697</v>
          </cell>
          <cell r="Z24">
            <v>2.0118386977432481</v>
          </cell>
          <cell r="AA24">
            <v>2.3551320918146383</v>
          </cell>
        </row>
      </sheetData>
      <sheetData sheetId="21">
        <row r="6">
          <cell r="V6" t="str">
            <v>Day 3</v>
          </cell>
          <cell r="W6" t="str">
            <v>Day 6</v>
          </cell>
          <cell r="X6" t="str">
            <v>Day 9</v>
          </cell>
          <cell r="Y6" t="str">
            <v>Day 12</v>
          </cell>
          <cell r="Z6" t="str">
            <v>Day 15</v>
          </cell>
          <cell r="AA6" t="str">
            <v>Day 18</v>
          </cell>
        </row>
        <row r="7">
          <cell r="U7" t="str">
            <v>ROSA_g1</v>
          </cell>
          <cell r="V7">
            <v>1</v>
          </cell>
          <cell r="W7">
            <v>0.89905902480752775</v>
          </cell>
          <cell r="X7">
            <v>1.0393591772151898</v>
          </cell>
          <cell r="Y7">
            <v>1.1824932493249325</v>
          </cell>
          <cell r="Z7">
            <v>1.2687107677450506</v>
          </cell>
          <cell r="AA7">
            <v>1.3177031093279838</v>
          </cell>
        </row>
        <row r="8">
          <cell r="U8" t="str">
            <v>AAVS1_277</v>
          </cell>
          <cell r="V8">
            <v>1</v>
          </cell>
          <cell r="W8">
            <v>0.90882967607105536</v>
          </cell>
          <cell r="X8">
            <v>1.0485232067510548</v>
          </cell>
          <cell r="Y8">
            <v>1.1773265651438241</v>
          </cell>
          <cell r="Z8">
            <v>1.2532420749279538</v>
          </cell>
          <cell r="AA8">
            <v>1.2389601139601141</v>
          </cell>
        </row>
        <row r="9">
          <cell r="U9" t="str">
            <v>AAVS1 g1</v>
          </cell>
          <cell r="V9">
            <v>1</v>
          </cell>
          <cell r="W9">
            <v>0.85986975072984506</v>
          </cell>
          <cell r="X9">
            <v>1.0385136967724438</v>
          </cell>
          <cell r="Y9">
            <v>1.2105595953208979</v>
          </cell>
          <cell r="Z9">
            <v>1.3099555251453985</v>
          </cell>
          <cell r="AA9">
            <v>1.3295138888888889</v>
          </cell>
        </row>
        <row r="10">
          <cell r="U10" t="str">
            <v>AAVS1 g2</v>
          </cell>
          <cell r="V10">
            <v>1</v>
          </cell>
          <cell r="W10">
            <v>0.89761805265357297</v>
          </cell>
          <cell r="X10">
            <v>0.97216564833672781</v>
          </cell>
          <cell r="Y10">
            <v>1.1072164948453609</v>
          </cell>
          <cell r="Z10">
            <v>1.1906873614190687</v>
          </cell>
          <cell r="AA10">
            <v>1.128447596532703</v>
          </cell>
        </row>
        <row r="12">
          <cell r="U12" t="str">
            <v>CDK9_ 44</v>
          </cell>
          <cell r="V12">
            <v>1</v>
          </cell>
          <cell r="W12">
            <v>0.85883125410374273</v>
          </cell>
          <cell r="X12">
            <v>1.2744397531666127</v>
          </cell>
          <cell r="Y12">
            <v>2.3440860215053765</v>
          </cell>
          <cell r="Z12">
            <v>4.2103004291845494</v>
          </cell>
          <cell r="AA12">
            <v>5.8133333333333335</v>
          </cell>
        </row>
        <row r="13">
          <cell r="U13" t="str">
            <v>CDK9_771</v>
          </cell>
          <cell r="V13">
            <v>1</v>
          </cell>
          <cell r="W13">
            <v>0.83398926654740602</v>
          </cell>
          <cell r="X13">
            <v>1.2431999999999999</v>
          </cell>
          <cell r="Y13">
            <v>2.5986622073578594</v>
          </cell>
          <cell r="Z13">
            <v>5.4462616822429899</v>
          </cell>
          <cell r="AA13">
            <v>7.6677631578947363</v>
          </cell>
        </row>
        <row r="14">
          <cell r="U14" t="str">
            <v>CDK9_774</v>
          </cell>
          <cell r="V14">
            <v>1</v>
          </cell>
          <cell r="W14">
            <v>0.76235584843492588</v>
          </cell>
          <cell r="X14">
            <v>0.87146892655367247</v>
          </cell>
          <cell r="Y14">
            <v>1.0881834215167547</v>
          </cell>
          <cell r="Z14">
            <v>1.2791983413959918</v>
          </cell>
          <cell r="AA14">
            <v>1.4054669703872438</v>
          </cell>
        </row>
        <row r="15">
          <cell r="U15" t="str">
            <v>CDK9_913</v>
          </cell>
          <cell r="V15">
            <v>1</v>
          </cell>
          <cell r="W15">
            <v>0.83129123468426025</v>
          </cell>
          <cell r="X15">
            <v>1.0870994248151191</v>
          </cell>
          <cell r="Y15">
            <v>1.6114494518879414</v>
          </cell>
          <cell r="Z15">
            <v>2.4164383561643836</v>
          </cell>
          <cell r="AA15">
            <v>3.0102389078498297</v>
          </cell>
        </row>
        <row r="16">
          <cell r="U16" t="str">
            <v>CDC7_E4</v>
          </cell>
          <cell r="V16">
            <v>1</v>
          </cell>
          <cell r="W16">
            <v>1.3464668094218415</v>
          </cell>
          <cell r="X16">
            <v>2.5436893203883497</v>
          </cell>
          <cell r="Y16">
            <v>3.9596977329974812</v>
          </cell>
          <cell r="Z16">
            <v>4.3849372384937242</v>
          </cell>
          <cell r="AA16">
            <v>5.2225913621262468</v>
          </cell>
        </row>
        <row r="17">
          <cell r="U17" t="str">
            <v>CDC7_E5</v>
          </cell>
          <cell r="V17">
            <v>1</v>
          </cell>
          <cell r="W17">
            <v>1.3649592549476135</v>
          </cell>
          <cell r="X17">
            <v>3.782258064516129</v>
          </cell>
          <cell r="Y17">
            <v>8.5272727272727273</v>
          </cell>
          <cell r="Z17">
            <v>12.814207650273223</v>
          </cell>
          <cell r="AA17">
            <v>17.765151515151512</v>
          </cell>
        </row>
        <row r="18">
          <cell r="U18" t="str">
            <v>CDC7_E6</v>
          </cell>
          <cell r="V18">
            <v>1</v>
          </cell>
          <cell r="W18">
            <v>1.1256133464180571</v>
          </cell>
          <cell r="X18">
            <v>2.5602678571428572</v>
          </cell>
          <cell r="Y18">
            <v>5.3473193473193472</v>
          </cell>
          <cell r="Z18">
            <v>8.2517985611510802</v>
          </cell>
          <cell r="AA18">
            <v>12.4</v>
          </cell>
        </row>
        <row r="19">
          <cell r="U19" t="str">
            <v>CDC7_E7</v>
          </cell>
          <cell r="V19">
            <v>1</v>
          </cell>
          <cell r="W19">
            <v>1.152276295133438</v>
          </cell>
          <cell r="X19">
            <v>2.0054644808743167</v>
          </cell>
          <cell r="Y19">
            <v>2.8015267175572518</v>
          </cell>
          <cell r="Z19">
            <v>3.2767857142857144</v>
          </cell>
          <cell r="AA19">
            <v>4.0627306273062729</v>
          </cell>
        </row>
        <row r="21">
          <cell r="U21" t="str">
            <v>UBE2H_236</v>
          </cell>
          <cell r="V21">
            <v>1</v>
          </cell>
          <cell r="W21">
            <v>0.96072986909956359</v>
          </cell>
          <cell r="X21">
            <v>1.6772853185595569</v>
          </cell>
          <cell r="Y21">
            <v>2.8494117647058821</v>
          </cell>
          <cell r="Z21">
            <v>4.5784499054820413</v>
          </cell>
          <cell r="AA21">
            <v>5.7393364928909953</v>
          </cell>
        </row>
        <row r="22">
          <cell r="U22" t="str">
            <v>UBE2H_268</v>
          </cell>
          <cell r="V22">
            <v>1</v>
          </cell>
          <cell r="W22">
            <v>0.96000000000000008</v>
          </cell>
          <cell r="X22">
            <v>1.5113808801213962</v>
          </cell>
          <cell r="Y22">
            <v>2.1866081229418226</v>
          </cell>
          <cell r="Z22">
            <v>3.0505359877488516</v>
          </cell>
          <cell r="AA22">
            <v>3.787072243346008</v>
          </cell>
        </row>
        <row r="23">
          <cell r="U23" t="str">
            <v>UBE2H_301</v>
          </cell>
          <cell r="V23">
            <v>1</v>
          </cell>
          <cell r="W23">
            <v>0.92002176278563663</v>
          </cell>
          <cell r="X23">
            <v>1.3057915057915059</v>
          </cell>
          <cell r="Y23">
            <v>2.0447400241837972</v>
          </cell>
          <cell r="Z23">
            <v>3.2117758784425452</v>
          </cell>
          <cell r="AA23">
            <v>4.3248081841432224</v>
          </cell>
        </row>
        <row r="24">
          <cell r="U24" t="str">
            <v>UBE2H_917</v>
          </cell>
          <cell r="V24">
            <v>1</v>
          </cell>
          <cell r="W24">
            <v>0.93197725284339461</v>
          </cell>
          <cell r="X24">
            <v>1.1239778422579796</v>
          </cell>
          <cell r="Y24">
            <v>1.5539752005835155</v>
          </cell>
          <cell r="Z24">
            <v>1.9846297158826269</v>
          </cell>
          <cell r="AA24">
            <v>2.2970350404312669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98961-B3E3-AB4C-B616-9B0456E55994}">
  <dimension ref="A1:E25"/>
  <sheetViews>
    <sheetView tabSelected="1" workbookViewId="0">
      <selection activeCell="A6" sqref="A6"/>
    </sheetView>
  </sheetViews>
  <sheetFormatPr baseColWidth="10" defaultRowHeight="16" x14ac:dyDescent="0.2"/>
  <cols>
    <col min="1" max="1" width="16" bestFit="1" customWidth="1"/>
    <col min="2" max="3" width="9.1640625" bestFit="1" customWidth="1"/>
    <col min="4" max="4" width="10.1640625" customWidth="1"/>
  </cols>
  <sheetData>
    <row r="1" spans="1:5" x14ac:dyDescent="0.2">
      <c r="A1" s="36" t="s">
        <v>89</v>
      </c>
    </row>
    <row r="3" spans="1:5" x14ac:dyDescent="0.2">
      <c r="A3" t="s">
        <v>90</v>
      </c>
    </row>
    <row r="4" spans="1:5" x14ac:dyDescent="0.2">
      <c r="A4" s="36" t="s">
        <v>84</v>
      </c>
      <c r="B4" s="36" t="s">
        <v>50</v>
      </c>
      <c r="C4" s="36" t="s">
        <v>85</v>
      </c>
      <c r="D4" s="36" t="s">
        <v>86</v>
      </c>
    </row>
    <row r="5" spans="1:5" x14ac:dyDescent="0.2">
      <c r="A5" s="72">
        <v>0.18</v>
      </c>
      <c r="B5" s="72">
        <v>0.79</v>
      </c>
      <c r="C5" s="72">
        <v>0.92</v>
      </c>
      <c r="D5" s="72">
        <v>0.49</v>
      </c>
    </row>
    <row r="9" spans="1:5" x14ac:dyDescent="0.2">
      <c r="A9" t="s">
        <v>91</v>
      </c>
    </row>
    <row r="10" spans="1:5" x14ac:dyDescent="0.2">
      <c r="A10" s="36" t="s">
        <v>88</v>
      </c>
      <c r="B10" s="36" t="s">
        <v>50</v>
      </c>
      <c r="C10" s="36" t="s">
        <v>85</v>
      </c>
      <c r="D10" s="36" t="s">
        <v>86</v>
      </c>
    </row>
    <row r="11" spans="1:5" x14ac:dyDescent="0.2">
      <c r="A11" s="1">
        <v>0.26289881196733111</v>
      </c>
      <c r="B11" s="73">
        <v>1.6555183916493057</v>
      </c>
      <c r="C11" s="73">
        <v>1.4745265416665407</v>
      </c>
      <c r="D11" s="73">
        <v>0.82979948260755843</v>
      </c>
      <c r="E11" s="75" t="s">
        <v>70</v>
      </c>
    </row>
    <row r="12" spans="1:5" x14ac:dyDescent="0.2">
      <c r="A12" s="1">
        <v>0.22614853431898332</v>
      </c>
      <c r="B12" s="73">
        <v>0.85590796098383926</v>
      </c>
      <c r="C12" s="73">
        <v>1.1024690113254623</v>
      </c>
      <c r="D12" s="73">
        <v>0.44823519734333767</v>
      </c>
      <c r="E12" s="75" t="s">
        <v>2</v>
      </c>
    </row>
    <row r="13" spans="1:5" x14ac:dyDescent="0.2">
      <c r="A13" s="1">
        <v>0.13727437319951022</v>
      </c>
      <c r="B13" s="73">
        <v>0.63447479237636617</v>
      </c>
      <c r="C13" s="73">
        <v>0.59307903777844018</v>
      </c>
      <c r="D13" s="73">
        <v>0.48850146034059883</v>
      </c>
      <c r="E13" s="75" t="s">
        <v>1</v>
      </c>
    </row>
    <row r="14" spans="1:5" x14ac:dyDescent="0.2">
      <c r="A14" s="1">
        <v>7.5914490356236181E-2</v>
      </c>
      <c r="B14" s="73">
        <v>-1.7573033457211121E-3</v>
      </c>
      <c r="C14" s="73">
        <v>0.51688527857169653</v>
      </c>
      <c r="D14" s="73">
        <v>0.1820475803166644</v>
      </c>
      <c r="E14" s="75" t="s">
        <v>0</v>
      </c>
    </row>
    <row r="15" spans="1:5" x14ac:dyDescent="0.2">
      <c r="C15" s="7" t="s">
        <v>87</v>
      </c>
      <c r="D15" s="74">
        <f>_xlfn.T.TEST(A11:A14,B11:D14,2,3)</f>
        <v>2.3923207275493657E-3</v>
      </c>
    </row>
    <row r="21" spans="1:4" x14ac:dyDescent="0.2">
      <c r="A21" s="1"/>
      <c r="B21" s="73"/>
      <c r="C21" s="73"/>
      <c r="D21" s="73"/>
    </row>
    <row r="22" spans="1:4" x14ac:dyDescent="0.2">
      <c r="A22" s="1"/>
      <c r="B22" s="73"/>
      <c r="C22" s="73"/>
      <c r="D22" s="73"/>
    </row>
    <row r="23" spans="1:4" x14ac:dyDescent="0.2">
      <c r="A23" s="1"/>
      <c r="B23" s="73"/>
      <c r="C23" s="73"/>
      <c r="D23" s="73"/>
    </row>
    <row r="24" spans="1:4" x14ac:dyDescent="0.2">
      <c r="A24" s="1"/>
      <c r="B24" s="73"/>
      <c r="C24" s="73"/>
      <c r="D24" s="73"/>
    </row>
    <row r="25" spans="1:4" x14ac:dyDescent="0.2">
      <c r="C25" s="7"/>
      <c r="D25" s="7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60B96-727F-BA4D-88B4-B8D84242BCA1}">
  <dimension ref="A1:AA55"/>
  <sheetViews>
    <sheetView topLeftCell="H24" workbookViewId="0">
      <selection activeCell="P47" sqref="P47:P50"/>
    </sheetView>
  </sheetViews>
  <sheetFormatPr baseColWidth="10" defaultRowHeight="16" x14ac:dyDescent="0.2"/>
  <cols>
    <col min="1" max="1" width="12.1640625" customWidth="1"/>
    <col min="2" max="2" width="6.5" customWidth="1"/>
    <col min="3" max="8" width="8.5" customWidth="1"/>
    <col min="9" max="9" width="11.33203125" customWidth="1"/>
    <col min="11" max="11" width="6.5" customWidth="1"/>
    <col min="12" max="17" width="8" customWidth="1"/>
    <col min="21" max="22" width="7.33203125" customWidth="1"/>
    <col min="23" max="27" width="7.5" customWidth="1"/>
  </cols>
  <sheetData>
    <row r="1" spans="1:27" x14ac:dyDescent="0.2">
      <c r="A1" s="36" t="s">
        <v>49</v>
      </c>
    </row>
    <row r="2" spans="1:27" x14ac:dyDescent="0.2">
      <c r="A2" s="37" t="s">
        <v>54</v>
      </c>
      <c r="E2" t="s">
        <v>59</v>
      </c>
    </row>
    <row r="3" spans="1:27" x14ac:dyDescent="0.2">
      <c r="A3" s="36"/>
      <c r="B3" t="s">
        <v>48</v>
      </c>
    </row>
    <row r="4" spans="1:27" x14ac:dyDescent="0.2">
      <c r="A4" t="s">
        <v>55</v>
      </c>
      <c r="U4" s="42" t="s">
        <v>52</v>
      </c>
    </row>
    <row r="5" spans="1:27" x14ac:dyDescent="0.2">
      <c r="U5" s="7"/>
      <c r="X5" s="9"/>
      <c r="Z5" s="9"/>
      <c r="AA5" s="9"/>
    </row>
    <row r="6" spans="1:27" x14ac:dyDescent="0.2">
      <c r="A6" t="s">
        <v>47</v>
      </c>
      <c r="C6" t="s">
        <v>51</v>
      </c>
      <c r="V6" s="35" t="s">
        <v>19</v>
      </c>
      <c r="W6" s="35" t="s">
        <v>18</v>
      </c>
      <c r="X6" s="35" t="s">
        <v>17</v>
      </c>
      <c r="Y6" s="35" t="s">
        <v>16</v>
      </c>
      <c r="Z6" s="35" t="s">
        <v>15</v>
      </c>
      <c r="AA6" s="35" t="s">
        <v>14</v>
      </c>
    </row>
    <row r="7" spans="1:27" x14ac:dyDescent="0.2">
      <c r="A7" t="s">
        <v>56</v>
      </c>
      <c r="U7" s="7" t="s">
        <v>43</v>
      </c>
      <c r="V7">
        <v>1</v>
      </c>
      <c r="W7" s="9">
        <v>0.8595890410958904</v>
      </c>
      <c r="X7" s="9">
        <v>0.98652442448062894</v>
      </c>
      <c r="Y7" s="9">
        <v>1.1394293125810635</v>
      </c>
      <c r="Z7" s="9">
        <v>1.2966789667896679</v>
      </c>
      <c r="AA7" s="9">
        <v>1.5318221447253704</v>
      </c>
    </row>
    <row r="8" spans="1:27" x14ac:dyDescent="0.2">
      <c r="A8" t="s">
        <v>57</v>
      </c>
      <c r="U8" s="7" t="s">
        <v>42</v>
      </c>
      <c r="V8">
        <v>1</v>
      </c>
      <c r="W8" s="9">
        <v>0.94580777096114521</v>
      </c>
      <c r="X8" s="9">
        <v>1.1253041362530414</v>
      </c>
      <c r="Y8" s="9">
        <v>1.3888888888888888</v>
      </c>
      <c r="Z8" s="9">
        <v>1.6666666666666667</v>
      </c>
      <c r="AA8" s="9">
        <v>1.97228144989339</v>
      </c>
    </row>
    <row r="9" spans="1:27" x14ac:dyDescent="0.2">
      <c r="B9" t="s">
        <v>58</v>
      </c>
      <c r="K9" t="s">
        <v>53</v>
      </c>
      <c r="U9" s="7" t="s">
        <v>40</v>
      </c>
      <c r="V9">
        <v>1</v>
      </c>
      <c r="W9" s="9">
        <v>0.79538165490699164</v>
      </c>
      <c r="X9" s="9">
        <v>0.95752895752895761</v>
      </c>
      <c r="Y9" s="9">
        <v>1.0925110132158591</v>
      </c>
      <c r="Z9" s="9">
        <v>1.3177470775770457</v>
      </c>
      <c r="AA9" s="9">
        <v>1.5597484276729561</v>
      </c>
    </row>
    <row r="10" spans="1:27" x14ac:dyDescent="0.2">
      <c r="A10" s="34"/>
      <c r="B10" s="34"/>
      <c r="C10" s="15">
        <v>45901</v>
      </c>
      <c r="D10" s="15">
        <f>C10+3</f>
        <v>45904</v>
      </c>
      <c r="E10" s="15">
        <f>C10+6</f>
        <v>45907</v>
      </c>
      <c r="F10" s="15">
        <f>C10+9</f>
        <v>45910</v>
      </c>
      <c r="G10" s="15">
        <f>C10+12</f>
        <v>45913</v>
      </c>
      <c r="H10" s="14">
        <f>C10+15</f>
        <v>45916</v>
      </c>
      <c r="K10" s="47"/>
      <c r="L10" s="15">
        <v>45901</v>
      </c>
      <c r="M10" s="15">
        <f>L10+3</f>
        <v>45904</v>
      </c>
      <c r="N10" s="15">
        <f>L10+6</f>
        <v>45907</v>
      </c>
      <c r="O10" s="15">
        <f>L10+9</f>
        <v>45910</v>
      </c>
      <c r="P10" s="15">
        <f>L10+12</f>
        <v>45913</v>
      </c>
      <c r="Q10" s="14">
        <f>L10+15</f>
        <v>45916</v>
      </c>
      <c r="U10" s="7" t="s">
        <v>38</v>
      </c>
      <c r="V10">
        <v>1</v>
      </c>
      <c r="W10" s="9">
        <v>0.66246719160104983</v>
      </c>
      <c r="X10" s="9">
        <v>0.92862398822663716</v>
      </c>
      <c r="Y10" s="9">
        <v>1.0516666666666665</v>
      </c>
      <c r="Z10" s="9">
        <v>1.3326293558606124</v>
      </c>
      <c r="AA10" s="9">
        <v>1.5446756425948591</v>
      </c>
    </row>
    <row r="11" spans="1:27" x14ac:dyDescent="0.2">
      <c r="A11" s="48" t="s">
        <v>46</v>
      </c>
      <c r="B11" s="49" t="s">
        <v>45</v>
      </c>
      <c r="C11" s="32" t="s">
        <v>19</v>
      </c>
      <c r="D11" s="32" t="s">
        <v>18</v>
      </c>
      <c r="E11" s="33" t="s">
        <v>17</v>
      </c>
      <c r="F11" s="32" t="s">
        <v>16</v>
      </c>
      <c r="G11" s="32" t="s">
        <v>15</v>
      </c>
      <c r="H11" s="31" t="s">
        <v>14</v>
      </c>
      <c r="K11" s="48" t="s">
        <v>45</v>
      </c>
      <c r="L11" s="32" t="s">
        <v>19</v>
      </c>
      <c r="M11" s="32" t="s">
        <v>18</v>
      </c>
      <c r="N11" s="33" t="s">
        <v>17</v>
      </c>
      <c r="O11" s="32" t="s">
        <v>16</v>
      </c>
      <c r="P11" s="32" t="s">
        <v>15</v>
      </c>
      <c r="Q11" s="31" t="s">
        <v>14</v>
      </c>
      <c r="V11" s="9"/>
      <c r="W11" s="9"/>
      <c r="X11" s="9"/>
      <c r="Y11" s="9"/>
      <c r="Z11" s="9"/>
      <c r="AA11" s="9"/>
    </row>
    <row r="12" spans="1:27" x14ac:dyDescent="0.2">
      <c r="A12" s="30" t="s">
        <v>44</v>
      </c>
      <c r="B12" s="29">
        <v>2035</v>
      </c>
      <c r="C12" s="50">
        <v>17.57</v>
      </c>
      <c r="D12" s="51">
        <v>20.440000000000001</v>
      </c>
      <c r="E12" s="43">
        <v>17.809999999999999</v>
      </c>
      <c r="F12" s="52">
        <v>15.42</v>
      </c>
      <c r="G12" s="43">
        <v>13.55</v>
      </c>
      <c r="H12" s="53">
        <v>11.47</v>
      </c>
      <c r="J12" s="30" t="s">
        <v>44</v>
      </c>
      <c r="K12" s="29">
        <v>2035</v>
      </c>
      <c r="L12" s="24">
        <f>($C12-$C$37)/(C12-C$37)</f>
        <v>1</v>
      </c>
      <c r="M12" s="24">
        <f t="shared" ref="M12:Q27" si="0">($C12-$C$37)/(D12-D$37)</f>
        <v>0.8595890410958904</v>
      </c>
      <c r="N12" s="24">
        <f t="shared" si="0"/>
        <v>0.98652442448062894</v>
      </c>
      <c r="O12" s="24">
        <f t="shared" si="0"/>
        <v>1.1394293125810635</v>
      </c>
      <c r="P12" s="24">
        <f t="shared" si="0"/>
        <v>1.2966789667896679</v>
      </c>
      <c r="Q12" s="24">
        <f t="shared" si="0"/>
        <v>1.5318221447253704</v>
      </c>
      <c r="U12" s="7" t="s">
        <v>35</v>
      </c>
      <c r="V12">
        <v>1</v>
      </c>
      <c r="W12" s="9">
        <v>0.84950135992747056</v>
      </c>
      <c r="X12" s="9">
        <v>1.2280471821756225</v>
      </c>
      <c r="Y12" s="9">
        <v>2.0776053215077606</v>
      </c>
      <c r="Z12" s="9">
        <v>3.9535864978902948</v>
      </c>
      <c r="AA12" s="9">
        <v>6.4620689655172407</v>
      </c>
    </row>
    <row r="13" spans="1:27" x14ac:dyDescent="0.2">
      <c r="A13" s="2" t="s">
        <v>42</v>
      </c>
      <c r="B13" s="23">
        <v>277</v>
      </c>
      <c r="C13" s="54">
        <v>9.25</v>
      </c>
      <c r="D13">
        <v>9.7799999999999994</v>
      </c>
      <c r="E13" s="44">
        <v>8.2200000000000006</v>
      </c>
      <c r="F13" s="55">
        <v>6.66</v>
      </c>
      <c r="G13" s="44">
        <v>5.55</v>
      </c>
      <c r="H13" s="56">
        <v>4.6900000000000004</v>
      </c>
      <c r="J13" s="2" t="s">
        <v>42</v>
      </c>
      <c r="K13" s="23">
        <v>277</v>
      </c>
      <c r="L13" s="24">
        <f t="shared" ref="L13:Q31" si="1">($C13-$C$37)/(C13-C$37)</f>
        <v>1</v>
      </c>
      <c r="M13" s="24">
        <f t="shared" si="0"/>
        <v>0.94580777096114521</v>
      </c>
      <c r="N13" s="24">
        <f t="shared" si="0"/>
        <v>1.1253041362530414</v>
      </c>
      <c r="O13" s="24">
        <f t="shared" si="0"/>
        <v>1.3888888888888888</v>
      </c>
      <c r="P13" s="24">
        <f t="shared" si="0"/>
        <v>1.6666666666666667</v>
      </c>
      <c r="Q13" s="24">
        <f t="shared" si="0"/>
        <v>1.97228144989339</v>
      </c>
      <c r="U13" s="7" t="s">
        <v>33</v>
      </c>
      <c r="V13">
        <v>1</v>
      </c>
      <c r="W13" s="9">
        <v>0.99069767441860457</v>
      </c>
      <c r="X13" s="9">
        <v>1.3284823284823286</v>
      </c>
      <c r="Y13" s="9">
        <v>2.4482758620689653</v>
      </c>
      <c r="Z13" s="9">
        <v>4.9153846153846148</v>
      </c>
      <c r="AA13" s="9">
        <v>9.1285714285714281</v>
      </c>
    </row>
    <row r="14" spans="1:27" x14ac:dyDescent="0.2">
      <c r="A14" s="2" t="s">
        <v>41</v>
      </c>
      <c r="B14" s="23">
        <v>2037</v>
      </c>
      <c r="C14" s="54">
        <v>12.4</v>
      </c>
      <c r="D14">
        <v>15.59</v>
      </c>
      <c r="E14" s="44">
        <v>12.95</v>
      </c>
      <c r="F14" s="55">
        <v>11.35</v>
      </c>
      <c r="G14" s="44">
        <v>9.41</v>
      </c>
      <c r="H14" s="56">
        <v>7.95</v>
      </c>
      <c r="J14" s="2" t="s">
        <v>41</v>
      </c>
      <c r="K14" s="23">
        <v>2037</v>
      </c>
      <c r="L14" s="24">
        <f t="shared" si="1"/>
        <v>1</v>
      </c>
      <c r="M14" s="24">
        <f t="shared" si="0"/>
        <v>0.79538165490699164</v>
      </c>
      <c r="N14" s="24">
        <f t="shared" si="0"/>
        <v>0.95752895752895761</v>
      </c>
      <c r="O14" s="24">
        <f t="shared" si="0"/>
        <v>1.0925110132158591</v>
      </c>
      <c r="P14" s="24">
        <f t="shared" si="0"/>
        <v>1.3177470775770457</v>
      </c>
      <c r="Q14" s="24">
        <f t="shared" si="0"/>
        <v>1.5597484276729561</v>
      </c>
      <c r="U14" s="7" t="s">
        <v>31</v>
      </c>
      <c r="V14">
        <v>1</v>
      </c>
      <c r="W14" s="9">
        <v>0.77115384615384608</v>
      </c>
      <c r="X14" s="9">
        <v>0.8354166666666667</v>
      </c>
      <c r="Y14" s="9">
        <v>0.9479905437352244</v>
      </c>
      <c r="Z14" s="9">
        <v>1.1424501424501425</v>
      </c>
      <c r="AA14" s="9">
        <v>1.3639455782312924</v>
      </c>
    </row>
    <row r="15" spans="1:27" x14ac:dyDescent="0.2">
      <c r="A15" s="2" t="s">
        <v>39</v>
      </c>
      <c r="B15" s="23">
        <v>2038</v>
      </c>
      <c r="C15" s="54">
        <v>12.62</v>
      </c>
      <c r="D15">
        <v>19.05</v>
      </c>
      <c r="E15" s="44">
        <v>13.59</v>
      </c>
      <c r="F15" s="55">
        <v>12</v>
      </c>
      <c r="G15" s="44">
        <v>9.4700000000000006</v>
      </c>
      <c r="H15" s="56">
        <v>8.17</v>
      </c>
      <c r="J15" s="2" t="s">
        <v>39</v>
      </c>
      <c r="K15" s="23">
        <v>2038</v>
      </c>
      <c r="L15" s="24">
        <f t="shared" si="1"/>
        <v>1</v>
      </c>
      <c r="M15" s="24">
        <f t="shared" si="0"/>
        <v>0.66246719160104983</v>
      </c>
      <c r="N15" s="24">
        <f t="shared" si="0"/>
        <v>0.92862398822663716</v>
      </c>
      <c r="O15" s="24">
        <f t="shared" si="0"/>
        <v>1.0516666666666665</v>
      </c>
      <c r="P15" s="24">
        <f t="shared" si="0"/>
        <v>1.3326293558606124</v>
      </c>
      <c r="Q15" s="24">
        <f t="shared" si="0"/>
        <v>1.5446756425948591</v>
      </c>
      <c r="U15" s="7" t="s">
        <v>29</v>
      </c>
      <c r="V15">
        <v>1</v>
      </c>
      <c r="W15" s="9">
        <v>0.8335435056746533</v>
      </c>
      <c r="X15" s="9">
        <v>1.0216383307573416</v>
      </c>
      <c r="Y15" s="9">
        <v>1.4063829787234043</v>
      </c>
      <c r="Z15" s="9">
        <v>2.0984126984126985</v>
      </c>
      <c r="AA15" s="9">
        <v>2.8864628820960698</v>
      </c>
    </row>
    <row r="16" spans="1:27" x14ac:dyDescent="0.2">
      <c r="A16" s="2" t="s">
        <v>3</v>
      </c>
      <c r="B16" s="27"/>
      <c r="C16" s="54">
        <v>5.38</v>
      </c>
      <c r="D16">
        <v>5.0199999999999996</v>
      </c>
      <c r="E16" s="44">
        <v>2.63</v>
      </c>
      <c r="F16" s="55">
        <v>1.51</v>
      </c>
      <c r="G16" s="44">
        <v>1.06</v>
      </c>
      <c r="H16" s="56">
        <v>0.74</v>
      </c>
      <c r="J16" s="2" t="s">
        <v>3</v>
      </c>
      <c r="K16" s="27"/>
      <c r="L16" s="24">
        <f t="shared" si="1"/>
        <v>1</v>
      </c>
      <c r="M16" s="24">
        <f t="shared" si="0"/>
        <v>1.0717131474103587</v>
      </c>
      <c r="N16" s="24">
        <f t="shared" si="0"/>
        <v>2.0456273764258555</v>
      </c>
      <c r="O16" s="24">
        <f t="shared" si="0"/>
        <v>3.5629139072847682</v>
      </c>
      <c r="P16" s="24">
        <f t="shared" si="0"/>
        <v>5.0754716981132075</v>
      </c>
      <c r="Q16" s="24">
        <f t="shared" si="0"/>
        <v>7.2702702702702702</v>
      </c>
      <c r="U16" s="25" t="s">
        <v>27</v>
      </c>
      <c r="V16">
        <v>1</v>
      </c>
      <c r="W16" s="9">
        <v>1.3128964059196615</v>
      </c>
      <c r="X16" s="9">
        <v>2.397683397683398</v>
      </c>
      <c r="Y16" s="9">
        <v>3.7185628742514973</v>
      </c>
      <c r="Z16" s="9">
        <v>4.0324675324675328</v>
      </c>
      <c r="AA16" s="9">
        <v>5.0901639344262293</v>
      </c>
    </row>
    <row r="17" spans="1:27" x14ac:dyDescent="0.2">
      <c r="A17" s="2" t="s">
        <v>2</v>
      </c>
      <c r="B17" s="27"/>
      <c r="C17" s="54">
        <v>5.25</v>
      </c>
      <c r="D17">
        <v>5.0999999999999996</v>
      </c>
      <c r="E17" s="44">
        <v>3.51</v>
      </c>
      <c r="F17" s="55">
        <v>2.21</v>
      </c>
      <c r="G17" s="44">
        <v>1.59</v>
      </c>
      <c r="H17" s="56">
        <v>1.21</v>
      </c>
      <c r="J17" s="2" t="s">
        <v>2</v>
      </c>
      <c r="K17" s="27"/>
      <c r="L17" s="24">
        <f t="shared" si="1"/>
        <v>1</v>
      </c>
      <c r="M17" s="24">
        <f t="shared" si="0"/>
        <v>1.0294117647058825</v>
      </c>
      <c r="N17" s="24">
        <f t="shared" si="0"/>
        <v>1.4957264957264957</v>
      </c>
      <c r="O17" s="24">
        <f t="shared" si="0"/>
        <v>2.3755656108597285</v>
      </c>
      <c r="P17" s="24">
        <f t="shared" si="0"/>
        <v>3.3018867924528301</v>
      </c>
      <c r="Q17" s="24">
        <f t="shared" si="0"/>
        <v>4.338842975206612</v>
      </c>
      <c r="U17" s="25" t="s">
        <v>25</v>
      </c>
      <c r="V17">
        <v>1</v>
      </c>
      <c r="W17" s="9">
        <v>1.3081081081081081</v>
      </c>
      <c r="X17" s="9">
        <v>2.5608465608465609</v>
      </c>
      <c r="Y17" s="9">
        <v>4.7920792079207919</v>
      </c>
      <c r="Z17" s="9">
        <v>7.9344262295081966</v>
      </c>
      <c r="AA17" s="9">
        <v>9.8775510204081627</v>
      </c>
    </row>
    <row r="18" spans="1:27" x14ac:dyDescent="0.2">
      <c r="A18" s="2" t="s">
        <v>1</v>
      </c>
      <c r="B18" s="27"/>
      <c r="C18" s="54">
        <v>9.9499999999999993</v>
      </c>
      <c r="D18">
        <v>11.16</v>
      </c>
      <c r="E18" s="44">
        <v>8.06</v>
      </c>
      <c r="F18" s="55">
        <v>5.33</v>
      </c>
      <c r="G18" s="44">
        <v>3.54</v>
      </c>
      <c r="H18" s="56">
        <v>2.5</v>
      </c>
      <c r="J18" s="2" t="s">
        <v>1</v>
      </c>
      <c r="K18" s="27"/>
      <c r="L18" s="24">
        <f t="shared" si="1"/>
        <v>1</v>
      </c>
      <c r="M18" s="24">
        <f t="shared" si="0"/>
        <v>0.89157706093189959</v>
      </c>
      <c r="N18" s="24">
        <f t="shared" si="0"/>
        <v>1.2344913151364763</v>
      </c>
      <c r="O18" s="24">
        <f t="shared" si="0"/>
        <v>1.8667917448405251</v>
      </c>
      <c r="P18" s="24">
        <f t="shared" si="0"/>
        <v>2.8107344632768361</v>
      </c>
      <c r="Q18" s="24">
        <f t="shared" si="0"/>
        <v>3.9799999999999995</v>
      </c>
      <c r="U18" s="25" t="s">
        <v>23</v>
      </c>
      <c r="V18">
        <v>1</v>
      </c>
      <c r="W18" s="9">
        <v>1.0467091295116773</v>
      </c>
      <c r="X18" s="9">
        <v>1.6768707482993197</v>
      </c>
      <c r="Y18" s="9">
        <v>3.3537414965986394</v>
      </c>
      <c r="Z18" s="9">
        <v>4.6509433962264142</v>
      </c>
      <c r="AA18" s="9">
        <v>5.8</v>
      </c>
    </row>
    <row r="19" spans="1:27" x14ac:dyDescent="0.2">
      <c r="A19" s="2" t="s">
        <v>0</v>
      </c>
      <c r="B19" s="27"/>
      <c r="C19" s="54">
        <v>11.98</v>
      </c>
      <c r="D19">
        <v>14.21</v>
      </c>
      <c r="E19" s="44">
        <v>12.47</v>
      </c>
      <c r="F19" s="55">
        <v>10.43</v>
      </c>
      <c r="G19" s="44">
        <v>8.56</v>
      </c>
      <c r="H19" s="56">
        <v>6.95</v>
      </c>
      <c r="J19" s="2" t="s">
        <v>0</v>
      </c>
      <c r="K19" s="27"/>
      <c r="L19" s="24">
        <f t="shared" si="1"/>
        <v>1</v>
      </c>
      <c r="M19" s="24">
        <f t="shared" si="0"/>
        <v>0.84306826178747363</v>
      </c>
      <c r="N19" s="24">
        <f t="shared" si="0"/>
        <v>0.96070569366479552</v>
      </c>
      <c r="O19" s="24">
        <f t="shared" si="0"/>
        <v>1.1486097794822627</v>
      </c>
      <c r="P19" s="24">
        <f t="shared" si="0"/>
        <v>1.3995327102803738</v>
      </c>
      <c r="Q19" s="24">
        <f t="shared" si="0"/>
        <v>1.7237410071942447</v>
      </c>
      <c r="U19" s="25" t="s">
        <v>21</v>
      </c>
      <c r="V19">
        <v>1</v>
      </c>
      <c r="W19" s="9">
        <v>1.1031390134529149</v>
      </c>
      <c r="X19" s="9">
        <v>1.7446808510638299</v>
      </c>
      <c r="Y19" s="9">
        <v>2.2990654205607477</v>
      </c>
      <c r="Z19" s="9">
        <v>2.6451612903225805</v>
      </c>
      <c r="AA19" s="9">
        <v>3.0749999999999997</v>
      </c>
    </row>
    <row r="20" spans="1:27" x14ac:dyDescent="0.2">
      <c r="A20" s="3" t="s">
        <v>8</v>
      </c>
      <c r="B20" s="26">
        <v>2027</v>
      </c>
      <c r="C20" s="54">
        <v>26.11</v>
      </c>
      <c r="D20">
        <v>26.21</v>
      </c>
      <c r="E20" s="44">
        <v>21.27</v>
      </c>
      <c r="F20" s="55">
        <v>17.7</v>
      </c>
      <c r="G20" s="44">
        <v>15.47</v>
      </c>
      <c r="H20" s="56">
        <v>13.62</v>
      </c>
      <c r="J20" s="3" t="s">
        <v>8</v>
      </c>
      <c r="K20" s="26">
        <v>2027</v>
      </c>
      <c r="L20" s="24">
        <f t="shared" si="1"/>
        <v>1</v>
      </c>
      <c r="M20" s="24">
        <f t="shared" si="0"/>
        <v>0.99618466234261727</v>
      </c>
      <c r="N20" s="24">
        <f t="shared" si="0"/>
        <v>1.227550540667607</v>
      </c>
      <c r="O20" s="24">
        <f t="shared" si="0"/>
        <v>1.4751412429378532</v>
      </c>
      <c r="P20" s="24">
        <f t="shared" si="0"/>
        <v>1.6877828054298643</v>
      </c>
      <c r="Q20" s="24">
        <f t="shared" si="0"/>
        <v>1.9170337738619678</v>
      </c>
      <c r="U20" s="7"/>
      <c r="V20" s="9"/>
      <c r="W20" s="9"/>
      <c r="X20" s="9"/>
      <c r="Y20" s="9"/>
      <c r="Z20" s="9"/>
      <c r="AA20" s="9"/>
    </row>
    <row r="21" spans="1:27" x14ac:dyDescent="0.2">
      <c r="A21" s="3" t="s">
        <v>7</v>
      </c>
      <c r="B21" s="26">
        <v>2028</v>
      </c>
      <c r="C21" s="54">
        <v>26.3</v>
      </c>
      <c r="D21">
        <v>27.2</v>
      </c>
      <c r="E21" s="44">
        <v>21.63</v>
      </c>
      <c r="F21" s="55">
        <v>18.13</v>
      </c>
      <c r="G21" s="44">
        <v>15.16</v>
      </c>
      <c r="H21" s="56">
        <v>13.46</v>
      </c>
      <c r="J21" s="3" t="s">
        <v>7</v>
      </c>
      <c r="K21" s="26">
        <v>2028</v>
      </c>
      <c r="L21" s="24">
        <f t="shared" si="1"/>
        <v>1</v>
      </c>
      <c r="M21" s="24">
        <f t="shared" si="0"/>
        <v>0.96691176470588236</v>
      </c>
      <c r="N21" s="24">
        <f t="shared" si="0"/>
        <v>1.2159038372630606</v>
      </c>
      <c r="O21" s="24">
        <f t="shared" si="0"/>
        <v>1.4506343077771651</v>
      </c>
      <c r="P21" s="24">
        <f t="shared" si="0"/>
        <v>1.7348284960422165</v>
      </c>
      <c r="Q21" s="24">
        <f t="shared" si="0"/>
        <v>1.9539375928677563</v>
      </c>
      <c r="U21" s="2" t="s">
        <v>3</v>
      </c>
      <c r="V21">
        <v>1</v>
      </c>
      <c r="W21" s="9">
        <v>1.0717131474103587</v>
      </c>
      <c r="X21" s="9">
        <v>2.0456273764258555</v>
      </c>
      <c r="Y21" s="9">
        <v>3.5629139072847682</v>
      </c>
      <c r="Z21" s="9">
        <v>5.0754716981132075</v>
      </c>
      <c r="AA21" s="9">
        <v>7.2702702702702702</v>
      </c>
    </row>
    <row r="22" spans="1:27" x14ac:dyDescent="0.2">
      <c r="A22" s="3" t="s">
        <v>6</v>
      </c>
      <c r="B22" s="26">
        <v>2029</v>
      </c>
      <c r="C22" s="54">
        <v>17.399999999999999</v>
      </c>
      <c r="D22">
        <v>19.66</v>
      </c>
      <c r="E22" s="44">
        <v>15.97</v>
      </c>
      <c r="F22" s="55">
        <v>13.23</v>
      </c>
      <c r="G22" s="44">
        <v>11.52</v>
      </c>
      <c r="H22" s="56">
        <v>9.81</v>
      </c>
      <c r="J22" s="3" t="s">
        <v>6</v>
      </c>
      <c r="K22" s="26">
        <v>2029</v>
      </c>
      <c r="L22" s="24">
        <f t="shared" si="1"/>
        <v>1</v>
      </c>
      <c r="M22" s="24">
        <f t="shared" si="0"/>
        <v>0.88504577822990838</v>
      </c>
      <c r="N22" s="24">
        <f t="shared" si="0"/>
        <v>1.0895428929242328</v>
      </c>
      <c r="O22" s="24">
        <f t="shared" si="0"/>
        <v>1.3151927437641722</v>
      </c>
      <c r="P22" s="24">
        <f t="shared" si="0"/>
        <v>1.5104166666666665</v>
      </c>
      <c r="Q22" s="24">
        <f t="shared" si="0"/>
        <v>1.7737003058103973</v>
      </c>
      <c r="U22" s="2" t="s">
        <v>2</v>
      </c>
      <c r="V22">
        <v>1</v>
      </c>
      <c r="W22" s="9">
        <v>1.0294117647058825</v>
      </c>
      <c r="X22" s="9">
        <v>1.4957264957264957</v>
      </c>
      <c r="Y22" s="9">
        <v>2.3755656108597285</v>
      </c>
      <c r="Z22" s="9">
        <v>3.3018867924528301</v>
      </c>
      <c r="AA22" s="9">
        <v>4.338842975206612</v>
      </c>
    </row>
    <row r="23" spans="1:27" x14ac:dyDescent="0.2">
      <c r="A23" s="3" t="s">
        <v>5</v>
      </c>
      <c r="B23" s="26">
        <v>2030</v>
      </c>
      <c r="C23" s="54">
        <v>50.12</v>
      </c>
      <c r="D23">
        <v>49.19</v>
      </c>
      <c r="E23" s="44">
        <v>33.47</v>
      </c>
      <c r="F23" s="55">
        <v>23.45</v>
      </c>
      <c r="G23" s="44">
        <v>17.600000000000001</v>
      </c>
      <c r="H23" s="56">
        <v>14.48</v>
      </c>
      <c r="J23" s="3" t="s">
        <v>5</v>
      </c>
      <c r="K23" s="26">
        <v>2030</v>
      </c>
      <c r="L23" s="24">
        <f t="shared" si="1"/>
        <v>1</v>
      </c>
      <c r="M23" s="24">
        <f t="shared" si="0"/>
        <v>1.0189062817645862</v>
      </c>
      <c r="N23" s="24">
        <f t="shared" si="0"/>
        <v>1.497460412309531</v>
      </c>
      <c r="O23" s="24">
        <f t="shared" si="0"/>
        <v>2.1373134328358208</v>
      </c>
      <c r="P23" s="24">
        <f t="shared" si="0"/>
        <v>2.8477272727272722</v>
      </c>
      <c r="Q23" s="24">
        <f t="shared" si="0"/>
        <v>3.4613259668508283</v>
      </c>
      <c r="U23" s="2" t="s">
        <v>1</v>
      </c>
      <c r="V23">
        <v>1</v>
      </c>
      <c r="W23" s="9">
        <v>0.89157706093189959</v>
      </c>
      <c r="X23" s="9">
        <v>1.2344913151364763</v>
      </c>
      <c r="Y23" s="9">
        <v>1.8667917448405251</v>
      </c>
      <c r="Z23" s="9">
        <v>2.8107344632768361</v>
      </c>
      <c r="AA23" s="9">
        <v>3.9799999999999995</v>
      </c>
    </row>
    <row r="24" spans="1:27" x14ac:dyDescent="0.2">
      <c r="A24" s="5" t="s">
        <v>36</v>
      </c>
      <c r="B24">
        <v>2051</v>
      </c>
      <c r="C24" s="54">
        <v>9.3699999999999992</v>
      </c>
      <c r="D24">
        <v>11.03</v>
      </c>
      <c r="E24" s="44">
        <v>7.63</v>
      </c>
      <c r="F24" s="55">
        <v>4.51</v>
      </c>
      <c r="G24" s="44">
        <v>2.37</v>
      </c>
      <c r="H24" s="56">
        <v>1.45</v>
      </c>
      <c r="J24" s="5" t="s">
        <v>36</v>
      </c>
      <c r="K24">
        <v>2051</v>
      </c>
      <c r="L24" s="24">
        <f t="shared" si="1"/>
        <v>1</v>
      </c>
      <c r="M24" s="24">
        <f t="shared" si="0"/>
        <v>0.84950135992747056</v>
      </c>
      <c r="N24" s="24">
        <f t="shared" si="0"/>
        <v>1.2280471821756225</v>
      </c>
      <c r="O24" s="24">
        <f t="shared" si="0"/>
        <v>2.0776053215077606</v>
      </c>
      <c r="P24" s="24">
        <f t="shared" si="0"/>
        <v>3.9535864978902948</v>
      </c>
      <c r="Q24" s="24">
        <f t="shared" si="0"/>
        <v>6.4620689655172407</v>
      </c>
      <c r="U24" s="2" t="s">
        <v>0</v>
      </c>
      <c r="V24">
        <v>1</v>
      </c>
      <c r="W24" s="9">
        <v>0.84306826178747363</v>
      </c>
      <c r="X24" s="9">
        <v>0.96070569366479552</v>
      </c>
      <c r="Y24" s="9">
        <v>1.1486097794822627</v>
      </c>
      <c r="Z24" s="9">
        <v>1.3995327102803738</v>
      </c>
      <c r="AA24" s="9">
        <v>1.7237410071942447</v>
      </c>
    </row>
    <row r="25" spans="1:27" x14ac:dyDescent="0.2">
      <c r="A25" s="5" t="s">
        <v>34</v>
      </c>
      <c r="B25">
        <v>2052</v>
      </c>
      <c r="C25" s="54">
        <v>6.39</v>
      </c>
      <c r="D25" s="41">
        <v>6.45</v>
      </c>
      <c r="E25" s="44">
        <v>4.8099999999999996</v>
      </c>
      <c r="F25" s="55">
        <v>2.61</v>
      </c>
      <c r="G25" s="44">
        <v>1.3</v>
      </c>
      <c r="H25" s="56">
        <v>0.7</v>
      </c>
      <c r="J25" s="5" t="s">
        <v>34</v>
      </c>
      <c r="K25">
        <v>2052</v>
      </c>
      <c r="L25" s="24">
        <f t="shared" si="1"/>
        <v>1</v>
      </c>
      <c r="M25" s="24">
        <f t="shared" si="0"/>
        <v>0.99069767441860457</v>
      </c>
      <c r="N25" s="24">
        <f t="shared" si="0"/>
        <v>1.3284823284823286</v>
      </c>
      <c r="O25" s="24">
        <f t="shared" si="0"/>
        <v>2.4482758620689653</v>
      </c>
      <c r="P25" s="24">
        <f t="shared" si="0"/>
        <v>4.9153846153846148</v>
      </c>
      <c r="Q25" s="24">
        <f t="shared" si="0"/>
        <v>9.1285714285714281</v>
      </c>
      <c r="U25" s="7"/>
      <c r="V25" s="38"/>
      <c r="W25" s="38"/>
      <c r="X25" s="38"/>
      <c r="Y25" s="38"/>
      <c r="Z25" s="38"/>
      <c r="AA25" s="38"/>
    </row>
    <row r="26" spans="1:27" x14ac:dyDescent="0.2">
      <c r="A26" s="5" t="s">
        <v>32</v>
      </c>
      <c r="B26">
        <v>2053</v>
      </c>
      <c r="C26" s="54">
        <v>4.01</v>
      </c>
      <c r="D26">
        <v>5.2</v>
      </c>
      <c r="E26" s="44">
        <v>4.8</v>
      </c>
      <c r="F26" s="55">
        <v>4.2300000000000004</v>
      </c>
      <c r="G26" s="44">
        <v>3.51</v>
      </c>
      <c r="H26" s="56">
        <v>2.94</v>
      </c>
      <c r="J26" s="5" t="s">
        <v>32</v>
      </c>
      <c r="K26">
        <v>2053</v>
      </c>
      <c r="L26" s="24">
        <f t="shared" si="1"/>
        <v>1</v>
      </c>
      <c r="M26" s="24">
        <f t="shared" si="0"/>
        <v>0.77115384615384608</v>
      </c>
      <c r="N26" s="24">
        <f t="shared" si="0"/>
        <v>0.8354166666666667</v>
      </c>
      <c r="O26" s="24">
        <f t="shared" si="0"/>
        <v>0.9479905437352244</v>
      </c>
      <c r="P26" s="24">
        <f t="shared" si="0"/>
        <v>1.1424501424501425</v>
      </c>
      <c r="Q26" s="24">
        <f t="shared" si="0"/>
        <v>1.3639455782312924</v>
      </c>
      <c r="U26" s="7" t="s">
        <v>8</v>
      </c>
      <c r="V26">
        <v>1</v>
      </c>
      <c r="W26" s="9">
        <v>0.99618466234261727</v>
      </c>
      <c r="X26" s="9">
        <v>1.227550540667607</v>
      </c>
      <c r="Y26" s="9">
        <v>1.4751412429378532</v>
      </c>
      <c r="Z26" s="9">
        <v>1.6877828054298643</v>
      </c>
      <c r="AA26" s="9">
        <v>1.9170337738619678</v>
      </c>
    </row>
    <row r="27" spans="1:27" x14ac:dyDescent="0.2">
      <c r="A27" s="5" t="s">
        <v>30</v>
      </c>
      <c r="B27">
        <v>2054</v>
      </c>
      <c r="C27" s="54">
        <v>6.61</v>
      </c>
      <c r="D27">
        <v>7.93</v>
      </c>
      <c r="E27" s="44">
        <v>6.47</v>
      </c>
      <c r="F27" s="55">
        <v>4.7</v>
      </c>
      <c r="G27" s="44">
        <v>3.15</v>
      </c>
      <c r="H27" s="56">
        <v>2.29</v>
      </c>
      <c r="J27" s="5" t="s">
        <v>30</v>
      </c>
      <c r="K27">
        <v>2054</v>
      </c>
      <c r="L27" s="24">
        <f t="shared" si="1"/>
        <v>1</v>
      </c>
      <c r="M27" s="24">
        <f t="shared" si="0"/>
        <v>0.8335435056746533</v>
      </c>
      <c r="N27" s="24">
        <f t="shared" si="0"/>
        <v>1.0216383307573416</v>
      </c>
      <c r="O27" s="24">
        <f t="shared" si="0"/>
        <v>1.4063829787234043</v>
      </c>
      <c r="P27" s="24">
        <f t="shared" si="0"/>
        <v>2.0984126984126985</v>
      </c>
      <c r="Q27" s="24">
        <f t="shared" si="0"/>
        <v>2.8864628820960698</v>
      </c>
      <c r="U27" s="7" t="s">
        <v>7</v>
      </c>
      <c r="V27">
        <v>1</v>
      </c>
      <c r="W27" s="9">
        <v>0.96691176470588236</v>
      </c>
      <c r="X27" s="9">
        <v>1.2159038372630606</v>
      </c>
      <c r="Y27" s="9">
        <v>1.4506343077771651</v>
      </c>
      <c r="Z27" s="9">
        <v>1.7348284960422165</v>
      </c>
      <c r="AA27" s="9">
        <v>1.9539375928677563</v>
      </c>
    </row>
    <row r="28" spans="1:27" x14ac:dyDescent="0.2">
      <c r="A28" s="3" t="s">
        <v>28</v>
      </c>
      <c r="B28" s="26">
        <v>2055</v>
      </c>
      <c r="C28" s="54">
        <v>6.21</v>
      </c>
      <c r="D28">
        <v>4.7300000000000004</v>
      </c>
      <c r="E28" s="44">
        <v>2.59</v>
      </c>
      <c r="F28" s="55">
        <v>1.67</v>
      </c>
      <c r="G28" s="44">
        <v>1.54</v>
      </c>
      <c r="H28" s="56">
        <v>1.22</v>
      </c>
      <c r="J28" s="3" t="s">
        <v>28</v>
      </c>
      <c r="K28" s="26">
        <v>2055</v>
      </c>
      <c r="L28" s="24">
        <f t="shared" si="1"/>
        <v>1</v>
      </c>
      <c r="M28" s="24">
        <f t="shared" si="1"/>
        <v>1.3128964059196615</v>
      </c>
      <c r="N28" s="24">
        <f t="shared" si="1"/>
        <v>2.397683397683398</v>
      </c>
      <c r="O28" s="24">
        <f t="shared" si="1"/>
        <v>3.7185628742514973</v>
      </c>
      <c r="P28" s="24">
        <f t="shared" si="1"/>
        <v>4.0324675324675328</v>
      </c>
      <c r="Q28" s="24">
        <f t="shared" si="1"/>
        <v>5.0901639344262293</v>
      </c>
      <c r="U28" s="7" t="s">
        <v>6</v>
      </c>
      <c r="V28">
        <v>1</v>
      </c>
      <c r="W28" s="9">
        <v>0.88504577822990838</v>
      </c>
      <c r="X28" s="9">
        <v>1.0895428929242328</v>
      </c>
      <c r="Y28" s="9">
        <v>1.3151927437641722</v>
      </c>
      <c r="Z28" s="9">
        <v>1.5104166666666665</v>
      </c>
      <c r="AA28" s="9">
        <v>1.7737003058103973</v>
      </c>
    </row>
    <row r="29" spans="1:27" x14ac:dyDescent="0.2">
      <c r="A29" s="3" t="s">
        <v>26</v>
      </c>
      <c r="B29" s="25">
        <v>2056</v>
      </c>
      <c r="C29" s="54">
        <v>4.84</v>
      </c>
      <c r="D29">
        <v>3.7</v>
      </c>
      <c r="E29" s="44">
        <v>1.89</v>
      </c>
      <c r="F29" s="55">
        <v>1.01</v>
      </c>
      <c r="G29" s="44">
        <v>0.61</v>
      </c>
      <c r="H29" s="56">
        <v>0.49</v>
      </c>
      <c r="J29" s="3" t="s">
        <v>26</v>
      </c>
      <c r="K29" s="25">
        <v>2056</v>
      </c>
      <c r="L29" s="24">
        <f t="shared" si="1"/>
        <v>1</v>
      </c>
      <c r="M29" s="24">
        <f t="shared" si="1"/>
        <v>1.3081081081081081</v>
      </c>
      <c r="N29" s="24">
        <f t="shared" si="1"/>
        <v>2.5608465608465609</v>
      </c>
      <c r="O29" s="24">
        <f t="shared" si="1"/>
        <v>4.7920792079207919</v>
      </c>
      <c r="P29" s="24">
        <f t="shared" si="1"/>
        <v>7.9344262295081966</v>
      </c>
      <c r="Q29" s="24">
        <f t="shared" si="1"/>
        <v>9.8775510204081627</v>
      </c>
      <c r="U29" s="7" t="s">
        <v>5</v>
      </c>
      <c r="V29">
        <v>1</v>
      </c>
      <c r="W29" s="9">
        <v>1.0189062817645862</v>
      </c>
      <c r="X29" s="9">
        <v>1.497460412309531</v>
      </c>
      <c r="Y29" s="9">
        <v>2.1373134328358208</v>
      </c>
      <c r="Z29" s="9">
        <v>2.8477272727272722</v>
      </c>
      <c r="AA29" s="9">
        <v>3.4613259668508283</v>
      </c>
    </row>
    <row r="30" spans="1:27" x14ac:dyDescent="0.2">
      <c r="A30" s="3" t="s">
        <v>24</v>
      </c>
      <c r="B30" s="25">
        <v>2057</v>
      </c>
      <c r="C30" s="54">
        <v>4.93</v>
      </c>
      <c r="D30">
        <v>4.71</v>
      </c>
      <c r="E30" s="44">
        <v>2.94</v>
      </c>
      <c r="F30" s="55">
        <v>1.47</v>
      </c>
      <c r="G30" s="44">
        <v>1.06</v>
      </c>
      <c r="H30" s="56">
        <v>0.85</v>
      </c>
      <c r="J30" s="3" t="s">
        <v>24</v>
      </c>
      <c r="K30" s="25">
        <v>2057</v>
      </c>
      <c r="L30" s="24">
        <f t="shared" si="1"/>
        <v>1</v>
      </c>
      <c r="M30" s="24">
        <f t="shared" si="1"/>
        <v>1.0467091295116773</v>
      </c>
      <c r="N30" s="24">
        <f t="shared" si="1"/>
        <v>1.6768707482993197</v>
      </c>
      <c r="O30" s="24">
        <f t="shared" si="1"/>
        <v>3.3537414965986394</v>
      </c>
      <c r="P30" s="24">
        <f t="shared" si="1"/>
        <v>4.6509433962264142</v>
      </c>
      <c r="Q30" s="24">
        <f t="shared" si="1"/>
        <v>5.8</v>
      </c>
      <c r="U30" s="7" t="s">
        <v>4</v>
      </c>
      <c r="V30">
        <v>1</v>
      </c>
      <c r="W30" s="9">
        <v>0.88415380847416125</v>
      </c>
      <c r="X30" s="9">
        <v>1.0699466508595139</v>
      </c>
      <c r="Y30" s="9">
        <v>1.2856125356125356</v>
      </c>
      <c r="Z30" s="9">
        <v>1.5526881720430108</v>
      </c>
      <c r="AA30" s="9">
        <v>1.8390219052470709</v>
      </c>
    </row>
    <row r="31" spans="1:27" x14ac:dyDescent="0.2">
      <c r="A31" s="3" t="s">
        <v>22</v>
      </c>
      <c r="B31" s="25">
        <v>2058</v>
      </c>
      <c r="C31" s="54">
        <v>4.92</v>
      </c>
      <c r="D31">
        <v>4.46</v>
      </c>
      <c r="E31" s="44">
        <v>2.82</v>
      </c>
      <c r="F31" s="55">
        <v>2.14</v>
      </c>
      <c r="G31" s="44">
        <v>1.86</v>
      </c>
      <c r="H31" s="56">
        <v>1.6</v>
      </c>
      <c r="J31" s="3" t="s">
        <v>22</v>
      </c>
      <c r="K31" s="25">
        <v>2058</v>
      </c>
      <c r="L31" s="24">
        <f>($C31-$C$37)/(C31-C$37)</f>
        <v>1</v>
      </c>
      <c r="M31" s="24">
        <f t="shared" si="1"/>
        <v>1.1031390134529149</v>
      </c>
      <c r="N31" s="24">
        <f t="shared" si="1"/>
        <v>1.7446808510638299</v>
      </c>
      <c r="O31" s="24">
        <f t="shared" si="1"/>
        <v>2.2990654205607477</v>
      </c>
      <c r="P31" s="24">
        <f t="shared" si="1"/>
        <v>2.6451612903225805</v>
      </c>
      <c r="Q31" s="24">
        <f t="shared" si="1"/>
        <v>3.0749999999999997</v>
      </c>
    </row>
    <row r="32" spans="1:27" x14ac:dyDescent="0.2">
      <c r="A32" s="28" t="s">
        <v>37</v>
      </c>
      <c r="B32" s="57"/>
      <c r="C32" s="54">
        <v>36.1</v>
      </c>
      <c r="D32">
        <v>40.83</v>
      </c>
      <c r="E32" s="44">
        <v>33.74</v>
      </c>
      <c r="F32" s="55">
        <v>28.08</v>
      </c>
      <c r="G32" s="44">
        <v>23.25</v>
      </c>
      <c r="H32" s="56">
        <v>19.63</v>
      </c>
      <c r="J32" s="58" t="s">
        <v>37</v>
      </c>
      <c r="K32" s="57"/>
      <c r="L32" s="24">
        <f>($C32-$C$37)/(C32-C$37)</f>
        <v>1</v>
      </c>
      <c r="M32" s="24">
        <f t="shared" ref="M32:Q32" si="2">($C32-$C$37)/(D32-D$37)</f>
        <v>0.88415380847416125</v>
      </c>
      <c r="N32" s="24">
        <f t="shared" si="2"/>
        <v>1.0699466508595139</v>
      </c>
      <c r="O32" s="24">
        <f t="shared" si="2"/>
        <v>1.2856125356125356</v>
      </c>
      <c r="P32" s="24">
        <f t="shared" si="2"/>
        <v>1.5526881720430108</v>
      </c>
      <c r="Q32" s="24">
        <f t="shared" si="2"/>
        <v>1.8390219052470709</v>
      </c>
      <c r="U32" s="7" t="s">
        <v>52</v>
      </c>
      <c r="V32" s="19" t="s">
        <v>19</v>
      </c>
      <c r="W32" s="19" t="s">
        <v>18</v>
      </c>
      <c r="X32" s="19" t="s">
        <v>17</v>
      </c>
      <c r="Y32" s="19" t="s">
        <v>16</v>
      </c>
      <c r="Z32" s="19" t="s">
        <v>15</v>
      </c>
      <c r="AA32" s="19" t="s">
        <v>14</v>
      </c>
    </row>
    <row r="33" spans="1:27" x14ac:dyDescent="0.2">
      <c r="A33" s="2" t="s">
        <v>20</v>
      </c>
      <c r="B33" s="23"/>
      <c r="C33" s="54">
        <v>0.03</v>
      </c>
      <c r="D33">
        <v>0.03</v>
      </c>
      <c r="E33" s="44">
        <v>0.01</v>
      </c>
      <c r="F33" s="55">
        <v>0.01</v>
      </c>
      <c r="G33" s="44">
        <v>0</v>
      </c>
      <c r="H33" s="56">
        <v>0</v>
      </c>
      <c r="U33" s="18" t="s">
        <v>13</v>
      </c>
      <c r="V33" s="16">
        <v>1</v>
      </c>
      <c r="W33" s="16">
        <v>1.0313001864642033</v>
      </c>
      <c r="X33" s="16">
        <v>1.57944569183237</v>
      </c>
      <c r="Y33" s="16">
        <v>2.531463864933976</v>
      </c>
      <c r="Z33" s="16">
        <v>3.6214917596018985</v>
      </c>
      <c r="AA33" s="16">
        <v>4.8825895936225319</v>
      </c>
    </row>
    <row r="34" spans="1:27" x14ac:dyDescent="0.2">
      <c r="A34" s="2" t="s">
        <v>20</v>
      </c>
      <c r="B34" s="23"/>
      <c r="C34" s="54">
        <v>0</v>
      </c>
      <c r="D34">
        <v>0</v>
      </c>
      <c r="E34" s="44">
        <v>0.01</v>
      </c>
      <c r="F34" s="55">
        <v>0</v>
      </c>
      <c r="G34" s="44">
        <v>0</v>
      </c>
      <c r="H34" s="56">
        <v>0</v>
      </c>
      <c r="U34" s="13" t="s">
        <v>12</v>
      </c>
      <c r="V34" s="11">
        <v>1</v>
      </c>
      <c r="W34" s="11">
        <v>0.81581141464126938</v>
      </c>
      <c r="X34" s="11">
        <v>0.99949537662231625</v>
      </c>
      <c r="Y34" s="11">
        <v>1.1681239703381194</v>
      </c>
      <c r="Z34" s="11">
        <v>1.4034305167234984</v>
      </c>
      <c r="AA34" s="11">
        <v>1.6521319162216437</v>
      </c>
    </row>
    <row r="35" spans="1:27" x14ac:dyDescent="0.2">
      <c r="A35" s="2" t="s">
        <v>20</v>
      </c>
      <c r="B35" s="23"/>
      <c r="C35" s="59">
        <v>0.01</v>
      </c>
      <c r="D35" s="60">
        <v>0</v>
      </c>
      <c r="E35" s="61">
        <v>0</v>
      </c>
      <c r="F35" s="62">
        <v>0</v>
      </c>
      <c r="G35" s="45">
        <v>0</v>
      </c>
      <c r="H35" s="63">
        <v>0</v>
      </c>
      <c r="U35" s="7" t="s">
        <v>11</v>
      </c>
      <c r="V35" s="9">
        <v>1</v>
      </c>
      <c r="W35" s="9">
        <v>0.95024045910343102</v>
      </c>
      <c r="X35" s="9">
        <v>1.2200808668047889</v>
      </c>
      <c r="Y35" s="9">
        <v>1.5327788525855095</v>
      </c>
      <c r="Z35" s="9">
        <v>1.8666886825818061</v>
      </c>
      <c r="AA35" s="9">
        <v>2.1890039089276039</v>
      </c>
    </row>
    <row r="36" spans="1:27" x14ac:dyDescent="0.2">
      <c r="C36" s="22"/>
      <c r="E36" s="22"/>
      <c r="F36" s="22"/>
      <c r="G36" s="21"/>
      <c r="H36" s="21"/>
      <c r="U36" s="7" t="s">
        <v>10</v>
      </c>
      <c r="V36" s="9">
        <v>1</v>
      </c>
      <c r="W36" s="9">
        <v>0.95894255870890366</v>
      </c>
      <c r="X36" s="9">
        <v>1.4341377202384058</v>
      </c>
      <c r="Y36" s="9">
        <v>2.2384702606168214</v>
      </c>
      <c r="Z36" s="9">
        <v>3.146906416030812</v>
      </c>
      <c r="AA36" s="9">
        <v>4.3282135631677816</v>
      </c>
    </row>
    <row r="37" spans="1:27" x14ac:dyDescent="0.2">
      <c r="K37" s="7" t="s">
        <v>52</v>
      </c>
      <c r="L37" s="19" t="s">
        <v>19</v>
      </c>
      <c r="M37" s="19" t="s">
        <v>18</v>
      </c>
      <c r="N37" s="19" t="s">
        <v>17</v>
      </c>
      <c r="O37" s="19" t="s">
        <v>16</v>
      </c>
      <c r="P37" s="20" t="s">
        <v>15</v>
      </c>
      <c r="Q37" s="19" t="s">
        <v>14</v>
      </c>
    </row>
    <row r="38" spans="1:27" x14ac:dyDescent="0.2">
      <c r="K38" s="18" t="s">
        <v>13</v>
      </c>
      <c r="L38" s="16">
        <f t="shared" ref="L38:Q38" si="3">AVERAGE(L25:L32)</f>
        <v>1</v>
      </c>
      <c r="M38" s="16">
        <f>AVERAGE(M25:M32)</f>
        <v>1.0313001864642033</v>
      </c>
      <c r="N38" s="16">
        <f t="shared" si="3"/>
        <v>1.57944569183237</v>
      </c>
      <c r="O38" s="16">
        <f t="shared" si="3"/>
        <v>2.531463864933976</v>
      </c>
      <c r="P38" s="17">
        <f t="shared" si="3"/>
        <v>3.6214917596018985</v>
      </c>
      <c r="Q38" s="16">
        <f t="shared" si="3"/>
        <v>4.8825895936225319</v>
      </c>
    </row>
    <row r="39" spans="1:27" x14ac:dyDescent="0.2">
      <c r="K39" s="13" t="s">
        <v>12</v>
      </c>
      <c r="L39" s="11">
        <f t="shared" ref="L39:Q39" si="4">AVERAGE(L12:L15)</f>
        <v>1</v>
      </c>
      <c r="M39" s="11">
        <f>AVERAGE(M12:M15)</f>
        <v>0.81581141464126938</v>
      </c>
      <c r="N39" s="11">
        <f t="shared" si="4"/>
        <v>0.99949537662231625</v>
      </c>
      <c r="O39" s="39">
        <f t="shared" si="4"/>
        <v>1.1681239703381194</v>
      </c>
      <c r="P39" s="46">
        <f t="shared" si="4"/>
        <v>1.4034305167234984</v>
      </c>
      <c r="Q39" s="11">
        <f t="shared" si="4"/>
        <v>1.6521319162216437</v>
      </c>
    </row>
    <row r="40" spans="1:27" x14ac:dyDescent="0.2">
      <c r="K40" s="7" t="s">
        <v>11</v>
      </c>
      <c r="L40" s="9">
        <f>AVERAGE(L20:L23,L32)</f>
        <v>1</v>
      </c>
      <c r="M40" s="9">
        <f t="shared" ref="M40:Q40" si="5">AVERAGE(M20:M23,M32)</f>
        <v>0.95024045910343102</v>
      </c>
      <c r="N40" s="9">
        <f t="shared" si="5"/>
        <v>1.2200808668047889</v>
      </c>
      <c r="O40" s="9">
        <f t="shared" si="5"/>
        <v>1.5327788525855095</v>
      </c>
      <c r="P40" s="10">
        <f t="shared" si="5"/>
        <v>1.8666886825818061</v>
      </c>
      <c r="Q40" s="9">
        <f t="shared" si="5"/>
        <v>2.1890039089276039</v>
      </c>
    </row>
    <row r="41" spans="1:27" x14ac:dyDescent="0.2">
      <c r="H41" s="7"/>
      <c r="K41" s="7" t="s">
        <v>10</v>
      </c>
      <c r="L41" s="9">
        <f>AVERAGE(L16:L19)</f>
        <v>1</v>
      </c>
      <c r="M41" s="9">
        <f t="shared" ref="M41:Q41" si="6">AVERAGE(M16:M19)</f>
        <v>0.95894255870890366</v>
      </c>
      <c r="N41" s="9">
        <f t="shared" si="6"/>
        <v>1.4341377202384058</v>
      </c>
      <c r="O41" s="9">
        <f t="shared" si="6"/>
        <v>2.2384702606168214</v>
      </c>
      <c r="P41" s="10">
        <f>AVERAGE(P16:P19)</f>
        <v>3.146906416030812</v>
      </c>
      <c r="Q41" s="9">
        <f t="shared" si="6"/>
        <v>4.3282135631677816</v>
      </c>
    </row>
    <row r="42" spans="1:27" x14ac:dyDescent="0.2">
      <c r="K42" s="7"/>
      <c r="L42" s="9"/>
      <c r="M42" s="9"/>
      <c r="N42" s="9"/>
      <c r="O42" s="9"/>
      <c r="P42" s="10"/>
      <c r="Q42" s="9"/>
    </row>
    <row r="43" spans="1:27" x14ac:dyDescent="0.2">
      <c r="K43" s="7" t="s">
        <v>11</v>
      </c>
      <c r="N43" s="1"/>
      <c r="O43" s="40">
        <f>(O40-O$39)/(O$38-O$39)</f>
        <v>0.26747173151232917</v>
      </c>
      <c r="P43" s="8">
        <f t="shared" ref="P43:Q44" si="7">(P40-P$39)/(P$38-P$39)</f>
        <v>0.20885724744783557</v>
      </c>
      <c r="Q43" s="40">
        <f t="shared" si="7"/>
        <v>0.16619069070668291</v>
      </c>
    </row>
    <row r="44" spans="1:27" x14ac:dyDescent="0.2">
      <c r="K44" s="7" t="s">
        <v>10</v>
      </c>
      <c r="O44" s="40">
        <f>(O41-O$39)/(O$38-O$39)</f>
        <v>0.7850913000649713</v>
      </c>
      <c r="P44" s="8">
        <f>(P41-P$39)/(P$38-P$39)</f>
        <v>0.78603596041594759</v>
      </c>
      <c r="Q44" s="40">
        <f t="shared" si="7"/>
        <v>0.82839087032993364</v>
      </c>
    </row>
    <row r="45" spans="1:27" x14ac:dyDescent="0.2">
      <c r="K45" s="7" t="s">
        <v>9</v>
      </c>
      <c r="N45" s="1"/>
      <c r="O45" s="40">
        <f>(O39-O$39)/O$38</f>
        <v>0</v>
      </c>
      <c r="P45" s="6">
        <f>(P39-P$39)/P$38</f>
        <v>0</v>
      </c>
      <c r="Q45" s="40">
        <f>(Q39-Q$39)/Q$38</f>
        <v>0</v>
      </c>
    </row>
    <row r="47" spans="1:27" x14ac:dyDescent="0.2">
      <c r="K47" s="2" t="s">
        <v>3</v>
      </c>
      <c r="O47" s="1">
        <f t="shared" ref="O47:Q54" si="8">(O16-O$39)/(O$38-O$39)</f>
        <v>1.7565611821669396</v>
      </c>
      <c r="P47" s="1">
        <f t="shared" si="8"/>
        <v>1.6555183916493057</v>
      </c>
      <c r="Q47" s="1">
        <f t="shared" si="8"/>
        <v>1.7391152942046224</v>
      </c>
    </row>
    <row r="48" spans="1:27" x14ac:dyDescent="0.2">
      <c r="K48" s="2" t="s">
        <v>2</v>
      </c>
      <c r="O48" s="1">
        <f t="shared" si="8"/>
        <v>0.88564975271961699</v>
      </c>
      <c r="P48" s="1">
        <f t="shared" si="8"/>
        <v>0.85590796098383926</v>
      </c>
      <c r="Q48" s="1">
        <f t="shared" si="8"/>
        <v>0.83168124373837982</v>
      </c>
    </row>
    <row r="49" spans="11:17" x14ac:dyDescent="0.2">
      <c r="K49" s="2" t="s">
        <v>1</v>
      </c>
      <c r="O49" s="1">
        <f t="shared" si="8"/>
        <v>0.51246778391203474</v>
      </c>
      <c r="P49" s="1">
        <f t="shared" si="8"/>
        <v>0.63447479237636617</v>
      </c>
      <c r="Q49" s="1">
        <f t="shared" si="8"/>
        <v>0.72060008712179635</v>
      </c>
    </row>
    <row r="50" spans="11:17" x14ac:dyDescent="0.2">
      <c r="K50" s="2" t="s">
        <v>0</v>
      </c>
      <c r="O50" s="1">
        <f t="shared" si="8"/>
        <v>-1.4313518538707048E-2</v>
      </c>
      <c r="P50" s="1">
        <f t="shared" si="8"/>
        <v>-1.7573033457211121E-3</v>
      </c>
      <c r="Q50" s="1">
        <f t="shared" si="8"/>
        <v>2.2166856254936352E-2</v>
      </c>
    </row>
    <row r="51" spans="11:17" x14ac:dyDescent="0.2">
      <c r="K51" s="5" t="s">
        <v>8</v>
      </c>
      <c r="N51" s="1"/>
      <c r="O51" s="1">
        <f t="shared" si="8"/>
        <v>0.22519495968446288</v>
      </c>
      <c r="P51" s="1">
        <f t="shared" si="8"/>
        <v>0.12819857414638339</v>
      </c>
      <c r="Q51" s="1">
        <f t="shared" si="8"/>
        <v>8.2001339777172E-2</v>
      </c>
    </row>
    <row r="52" spans="11:17" x14ac:dyDescent="0.2">
      <c r="K52" s="5" t="s">
        <v>7</v>
      </c>
      <c r="O52" s="1">
        <f t="shared" si="8"/>
        <v>0.20721929913361184</v>
      </c>
      <c r="P52" s="1">
        <f t="shared" si="8"/>
        <v>0.14940884990563183</v>
      </c>
      <c r="Q52" s="1">
        <f t="shared" si="8"/>
        <v>9.3425052046784501E-2</v>
      </c>
    </row>
    <row r="53" spans="11:17" x14ac:dyDescent="0.2">
      <c r="K53" s="5" t="s">
        <v>6</v>
      </c>
      <c r="O53" s="1">
        <f>(O22-O$39)/(O$38-O$39)</f>
        <v>0.1078738867754246</v>
      </c>
      <c r="P53" s="1">
        <f t="shared" si="8"/>
        <v>4.8234082934667369E-2</v>
      </c>
      <c r="Q53" s="1">
        <f t="shared" si="8"/>
        <v>3.7631940031037092E-2</v>
      </c>
    </row>
    <row r="54" spans="11:17" x14ac:dyDescent="0.2">
      <c r="K54" s="4" t="s">
        <v>5</v>
      </c>
      <c r="O54" s="1">
        <f>(O23-O$39)/(O$38-O$39)</f>
        <v>0.71089349496737519</v>
      </c>
      <c r="P54" s="1">
        <f t="shared" si="8"/>
        <v>0.65115278518166408</v>
      </c>
      <c r="Q54" s="1">
        <f t="shared" si="8"/>
        <v>0.56004264141445059</v>
      </c>
    </row>
    <row r="55" spans="11:17" x14ac:dyDescent="0.2">
      <c r="K55" s="2" t="s">
        <v>4</v>
      </c>
      <c r="O55" s="1">
        <f>(O32-O$39)/(O$38-O$39)</f>
        <v>8.6177017000770795E-2</v>
      </c>
      <c r="P55" s="1">
        <f t="shared" ref="P55:Q55" si="9">(P32-P$39)/(P$38-P$39)</f>
        <v>6.7291945070830986E-2</v>
      </c>
      <c r="Q55" s="1">
        <f t="shared" si="9"/>
        <v>5.78524802639706E-2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CE9A7-015D-224C-8E98-FBC7248A4BC5}">
  <dimension ref="A1:AA43"/>
  <sheetViews>
    <sheetView topLeftCell="A10" workbookViewId="0">
      <selection activeCell="G39" sqref="G39"/>
    </sheetView>
  </sheetViews>
  <sheetFormatPr baseColWidth="10" defaultRowHeight="16" x14ac:dyDescent="0.2"/>
  <cols>
    <col min="1" max="1" width="12.1640625" customWidth="1"/>
    <col min="2" max="2" width="6.5" customWidth="1"/>
    <col min="3" max="8" width="8.5" customWidth="1"/>
    <col min="9" max="9" width="11.33203125" customWidth="1"/>
    <col min="11" max="11" width="6.5" customWidth="1"/>
    <col min="12" max="17" width="8" customWidth="1"/>
    <col min="21" max="22" width="7.33203125" customWidth="1"/>
    <col min="23" max="27" width="7.5" customWidth="1"/>
  </cols>
  <sheetData>
    <row r="1" spans="1:27" x14ac:dyDescent="0.2">
      <c r="A1" s="36" t="s">
        <v>60</v>
      </c>
    </row>
    <row r="2" spans="1:27" x14ac:dyDescent="0.2">
      <c r="A2" s="37" t="s">
        <v>61</v>
      </c>
      <c r="E2" t="s">
        <v>62</v>
      </c>
    </row>
    <row r="3" spans="1:27" x14ac:dyDescent="0.2">
      <c r="A3" s="36"/>
      <c r="B3" t="s">
        <v>48</v>
      </c>
      <c r="F3" t="s">
        <v>63</v>
      </c>
    </row>
    <row r="4" spans="1:27" x14ac:dyDescent="0.2">
      <c r="A4" t="s">
        <v>55</v>
      </c>
      <c r="U4" t="s">
        <v>64</v>
      </c>
    </row>
    <row r="5" spans="1:27" x14ac:dyDescent="0.2">
      <c r="U5" s="7"/>
      <c r="X5" s="9"/>
      <c r="Z5" s="9"/>
      <c r="AA5" s="9"/>
    </row>
    <row r="6" spans="1:27" x14ac:dyDescent="0.2">
      <c r="A6" t="s">
        <v>47</v>
      </c>
      <c r="C6" t="s">
        <v>65</v>
      </c>
      <c r="V6" s="35" t="s">
        <v>19</v>
      </c>
      <c r="W6" s="35" t="s">
        <v>18</v>
      </c>
      <c r="X6" s="35" t="s">
        <v>17</v>
      </c>
      <c r="Y6" s="35" t="s">
        <v>16</v>
      </c>
      <c r="Z6" s="35" t="s">
        <v>15</v>
      </c>
      <c r="AA6" s="35" t="s">
        <v>14</v>
      </c>
    </row>
    <row r="7" spans="1:27" x14ac:dyDescent="0.2">
      <c r="A7" t="s">
        <v>66</v>
      </c>
      <c r="U7" s="3" t="s">
        <v>44</v>
      </c>
      <c r="V7">
        <v>1</v>
      </c>
      <c r="W7" s="9">
        <v>0.87731219328048315</v>
      </c>
      <c r="X7" s="9">
        <v>1.0201931518876206</v>
      </c>
      <c r="Y7" s="9">
        <v>0.97935103244837751</v>
      </c>
      <c r="Z7" s="9">
        <v>1.0680147058823528</v>
      </c>
      <c r="AA7" s="9">
        <v>1.1331058020477813</v>
      </c>
    </row>
    <row r="8" spans="1:27" x14ac:dyDescent="0.2">
      <c r="A8" t="s">
        <v>57</v>
      </c>
      <c r="U8" s="3" t="s">
        <v>42</v>
      </c>
      <c r="V8">
        <v>1</v>
      </c>
      <c r="W8" s="9">
        <v>0.84593023255813959</v>
      </c>
      <c r="X8" s="9">
        <v>0.90560165975103735</v>
      </c>
      <c r="Y8" s="9">
        <v>1.0147229755908564</v>
      </c>
      <c r="Z8" s="9">
        <v>1.113994045087197</v>
      </c>
      <c r="AA8" s="9">
        <v>1.2187063750581668</v>
      </c>
    </row>
    <row r="9" spans="1:27" x14ac:dyDescent="0.2">
      <c r="B9" t="s">
        <v>67</v>
      </c>
      <c r="K9" t="s">
        <v>64</v>
      </c>
      <c r="U9" s="3" t="s">
        <v>41</v>
      </c>
      <c r="V9">
        <v>1</v>
      </c>
      <c r="W9" s="9">
        <v>0.86243262245137087</v>
      </c>
      <c r="X9" s="9">
        <v>0.89712335446123825</v>
      </c>
      <c r="Y9" s="9">
        <v>1.0137741046831956</v>
      </c>
      <c r="Z9" s="9">
        <v>1.167883211678832</v>
      </c>
      <c r="AA9" s="9">
        <v>1.2711571675302245</v>
      </c>
    </row>
    <row r="10" spans="1:27" x14ac:dyDescent="0.2">
      <c r="A10" t="s">
        <v>64</v>
      </c>
      <c r="B10" s="34"/>
      <c r="C10" s="15">
        <v>45945</v>
      </c>
      <c r="D10" s="15">
        <f>C10+3</f>
        <v>45948</v>
      </c>
      <c r="E10" s="15">
        <f>C10+6</f>
        <v>45951</v>
      </c>
      <c r="F10" s="15">
        <f>C10+9</f>
        <v>45954</v>
      </c>
      <c r="G10" s="15">
        <f>C10+12</f>
        <v>45957</v>
      </c>
      <c r="H10" s="14">
        <f>C10+15</f>
        <v>45960</v>
      </c>
      <c r="K10" s="47"/>
      <c r="L10" s="15">
        <v>45945</v>
      </c>
      <c r="M10" s="15">
        <f>L10+3</f>
        <v>45948</v>
      </c>
      <c r="N10" s="15">
        <f>L10+6</f>
        <v>45951</v>
      </c>
      <c r="O10" s="15">
        <f>L10+9</f>
        <v>45954</v>
      </c>
      <c r="P10" s="15">
        <f>L10+12</f>
        <v>45957</v>
      </c>
      <c r="Q10" s="14">
        <f>L10+15</f>
        <v>45960</v>
      </c>
      <c r="U10" s="3" t="s">
        <v>68</v>
      </c>
      <c r="V10">
        <v>1</v>
      </c>
      <c r="W10" s="9">
        <v>0.86419753086419759</v>
      </c>
      <c r="X10" s="9">
        <v>0.89983022071307306</v>
      </c>
      <c r="Y10" s="9">
        <v>0.96263622210690203</v>
      </c>
      <c r="Z10" s="9">
        <v>1.0474308300395256</v>
      </c>
      <c r="AA10" s="9">
        <v>1.1362940275650844</v>
      </c>
    </row>
    <row r="11" spans="1:27" x14ac:dyDescent="0.2">
      <c r="A11" s="48" t="s">
        <v>46</v>
      </c>
      <c r="B11" s="49" t="s">
        <v>45</v>
      </c>
      <c r="C11" s="32" t="s">
        <v>19</v>
      </c>
      <c r="D11" s="32" t="s">
        <v>18</v>
      </c>
      <c r="E11" s="33" t="s">
        <v>17</v>
      </c>
      <c r="F11" s="32" t="s">
        <v>16</v>
      </c>
      <c r="G11" s="32" t="s">
        <v>15</v>
      </c>
      <c r="H11" s="31" t="s">
        <v>14</v>
      </c>
      <c r="K11" s="48" t="s">
        <v>45</v>
      </c>
      <c r="L11" s="32" t="s">
        <v>19</v>
      </c>
      <c r="M11" s="32" t="s">
        <v>18</v>
      </c>
      <c r="N11" s="33" t="s">
        <v>17</v>
      </c>
      <c r="O11" s="32" t="s">
        <v>16</v>
      </c>
      <c r="P11" s="32" t="s">
        <v>15</v>
      </c>
      <c r="Q11" s="31" t="s">
        <v>14</v>
      </c>
      <c r="V11" s="9"/>
      <c r="W11" s="9"/>
      <c r="X11" s="9"/>
      <c r="Y11" s="9"/>
      <c r="Z11" s="9"/>
      <c r="AA11" s="9"/>
    </row>
    <row r="12" spans="1:27" x14ac:dyDescent="0.2">
      <c r="A12" s="3" t="s">
        <v>44</v>
      </c>
      <c r="B12" s="64">
        <v>2035</v>
      </c>
      <c r="C12" s="65">
        <v>46.48</v>
      </c>
      <c r="D12" s="51">
        <v>52.98</v>
      </c>
      <c r="E12" s="43">
        <v>45.56</v>
      </c>
      <c r="F12" s="52">
        <v>47.46</v>
      </c>
      <c r="G12" s="43">
        <v>43.52</v>
      </c>
      <c r="H12" s="53">
        <v>41.02</v>
      </c>
      <c r="J12" s="3" t="s">
        <v>44</v>
      </c>
      <c r="K12" s="64">
        <v>2035</v>
      </c>
      <c r="L12" s="24">
        <f>($C12-$C$37)/(C12-C$37)</f>
        <v>1</v>
      </c>
      <c r="M12" s="24">
        <f t="shared" ref="M12:Q19" si="0">($C12-$C$37)/(D12-D$37)</f>
        <v>0.87731219328048315</v>
      </c>
      <c r="N12" s="24">
        <f t="shared" si="0"/>
        <v>1.0201931518876206</v>
      </c>
      <c r="O12" s="24">
        <f t="shared" si="0"/>
        <v>0.97935103244837751</v>
      </c>
      <c r="P12" s="24">
        <f t="shared" si="0"/>
        <v>1.0680147058823528</v>
      </c>
      <c r="Q12" s="24">
        <f t="shared" si="0"/>
        <v>1.1331058020477813</v>
      </c>
      <c r="U12" s="3" t="s">
        <v>69</v>
      </c>
      <c r="V12">
        <v>1</v>
      </c>
      <c r="W12" s="9">
        <v>0.93646996278575223</v>
      </c>
      <c r="X12" s="9">
        <v>1.3170093457943923</v>
      </c>
      <c r="Y12" s="9">
        <v>3.4607072691552059</v>
      </c>
      <c r="Z12" s="9">
        <v>8.5096618357487923</v>
      </c>
      <c r="AA12" s="9">
        <v>11.98299319727891</v>
      </c>
    </row>
    <row r="13" spans="1:27" x14ac:dyDescent="0.2">
      <c r="A13" s="3" t="s">
        <v>42</v>
      </c>
      <c r="B13" s="26">
        <v>277</v>
      </c>
      <c r="C13" s="66">
        <v>26.19</v>
      </c>
      <c r="D13">
        <v>30.96</v>
      </c>
      <c r="E13" s="44">
        <v>28.92</v>
      </c>
      <c r="F13" s="55">
        <v>25.81</v>
      </c>
      <c r="G13" s="44">
        <v>23.51</v>
      </c>
      <c r="H13" s="56">
        <v>21.49</v>
      </c>
      <c r="J13" s="3" t="s">
        <v>42</v>
      </c>
      <c r="K13" s="26">
        <v>277</v>
      </c>
      <c r="L13" s="24">
        <f t="shared" ref="L13:Q27" si="1">($C13-$C$37)/(C13-C$37)</f>
        <v>1</v>
      </c>
      <c r="M13" s="24">
        <f t="shared" si="0"/>
        <v>0.84593023255813959</v>
      </c>
      <c r="N13" s="24">
        <f t="shared" si="0"/>
        <v>0.90560165975103735</v>
      </c>
      <c r="O13" s="24">
        <f t="shared" si="0"/>
        <v>1.0147229755908564</v>
      </c>
      <c r="P13" s="24">
        <f t="shared" si="0"/>
        <v>1.113994045087197</v>
      </c>
      <c r="Q13" s="24">
        <f t="shared" si="0"/>
        <v>1.2187063750581668</v>
      </c>
      <c r="U13" s="3" t="s">
        <v>34</v>
      </c>
      <c r="V13">
        <v>1</v>
      </c>
      <c r="W13" s="9">
        <v>0.97622377622377632</v>
      </c>
      <c r="X13" s="9">
        <v>1.6045977011494252</v>
      </c>
      <c r="Y13" s="9">
        <v>4.3534303534303538</v>
      </c>
      <c r="Z13" s="9">
        <v>10.214634146341465</v>
      </c>
      <c r="AA13" s="9">
        <v>15.064748201438851</v>
      </c>
    </row>
    <row r="14" spans="1:27" x14ac:dyDescent="0.2">
      <c r="A14" s="3" t="s">
        <v>41</v>
      </c>
      <c r="B14" s="26">
        <v>2037</v>
      </c>
      <c r="C14" s="66">
        <v>36.799999999999997</v>
      </c>
      <c r="D14">
        <v>42.67</v>
      </c>
      <c r="E14" s="44">
        <v>41.02</v>
      </c>
      <c r="F14" s="55">
        <v>36.299999999999997</v>
      </c>
      <c r="G14" s="44">
        <v>31.51</v>
      </c>
      <c r="H14" s="67">
        <v>28.95</v>
      </c>
      <c r="J14" s="3" t="s">
        <v>41</v>
      </c>
      <c r="K14" s="26">
        <v>2037</v>
      </c>
      <c r="L14" s="24">
        <f t="shared" si="1"/>
        <v>1</v>
      </c>
      <c r="M14" s="24">
        <f t="shared" si="0"/>
        <v>0.86243262245137087</v>
      </c>
      <c r="N14" s="24">
        <f t="shared" si="0"/>
        <v>0.89712335446123825</v>
      </c>
      <c r="O14" s="24">
        <f t="shared" si="0"/>
        <v>1.0137741046831956</v>
      </c>
      <c r="P14" s="24">
        <f t="shared" si="0"/>
        <v>1.167883211678832</v>
      </c>
      <c r="Q14" s="24">
        <f t="shared" si="0"/>
        <v>1.2711571675302245</v>
      </c>
      <c r="U14" s="3" t="s">
        <v>32</v>
      </c>
      <c r="V14">
        <v>1</v>
      </c>
      <c r="W14" s="9">
        <v>0.82207578253706759</v>
      </c>
      <c r="X14" s="9">
        <v>0.86481802426343168</v>
      </c>
      <c r="Y14" s="9">
        <v>1.0246406570841891</v>
      </c>
      <c r="Z14" s="9">
        <v>1.4056338028169013</v>
      </c>
      <c r="AA14" s="9">
        <v>2.1203966005665724</v>
      </c>
    </row>
    <row r="15" spans="1:27" x14ac:dyDescent="0.2">
      <c r="A15" s="3" t="s">
        <v>68</v>
      </c>
      <c r="B15" s="26">
        <v>2038</v>
      </c>
      <c r="C15" s="66">
        <v>37.1</v>
      </c>
      <c r="D15">
        <v>42.93</v>
      </c>
      <c r="E15" s="44">
        <v>41.23</v>
      </c>
      <c r="F15" s="55">
        <v>38.54</v>
      </c>
      <c r="G15" s="44">
        <v>35.42</v>
      </c>
      <c r="H15" s="67">
        <v>32.65</v>
      </c>
      <c r="J15" s="3" t="s">
        <v>68</v>
      </c>
      <c r="K15" s="26">
        <v>2038</v>
      </c>
      <c r="L15" s="24">
        <f t="shared" si="1"/>
        <v>1</v>
      </c>
      <c r="M15" s="24">
        <f t="shared" si="0"/>
        <v>0.86419753086419759</v>
      </c>
      <c r="N15" s="24">
        <f t="shared" si="0"/>
        <v>0.89983022071307306</v>
      </c>
      <c r="O15" s="24">
        <f t="shared" si="0"/>
        <v>0.96263622210690203</v>
      </c>
      <c r="P15" s="24">
        <f t="shared" si="0"/>
        <v>1.0474308300395256</v>
      </c>
      <c r="Q15" s="24">
        <f t="shared" si="0"/>
        <v>1.1362940275650844</v>
      </c>
      <c r="U15" s="3" t="s">
        <v>30</v>
      </c>
      <c r="V15">
        <v>1</v>
      </c>
      <c r="W15" s="9">
        <v>0.9179136383069687</v>
      </c>
      <c r="X15" s="9">
        <v>1.1719432314410481</v>
      </c>
      <c r="Y15" s="9">
        <v>1.9972093023255812</v>
      </c>
      <c r="Z15" s="9">
        <v>3.6890034364261166</v>
      </c>
      <c r="AA15" s="9">
        <v>5.7253333333333334</v>
      </c>
    </row>
    <row r="16" spans="1:27" x14ac:dyDescent="0.2">
      <c r="A16" s="5" t="s">
        <v>70</v>
      </c>
      <c r="B16" s="68"/>
      <c r="C16" s="66">
        <v>21.51</v>
      </c>
      <c r="D16">
        <v>23.91</v>
      </c>
      <c r="E16" s="44">
        <v>19.46</v>
      </c>
      <c r="F16" s="55">
        <v>12.4</v>
      </c>
      <c r="G16" s="44">
        <v>8.6300000000000008</v>
      </c>
      <c r="H16" s="67">
        <v>6.44</v>
      </c>
      <c r="J16" s="5" t="s">
        <v>70</v>
      </c>
      <c r="K16" s="68"/>
      <c r="L16" s="24">
        <f t="shared" si="1"/>
        <v>1</v>
      </c>
      <c r="M16" s="24">
        <f t="shared" si="0"/>
        <v>0.89962358845671275</v>
      </c>
      <c r="N16" s="24">
        <f t="shared" si="0"/>
        <v>1.1053442959917781</v>
      </c>
      <c r="O16" s="24">
        <f t="shared" si="0"/>
        <v>1.7346774193548389</v>
      </c>
      <c r="P16" s="24">
        <f t="shared" si="0"/>
        <v>2.4924681344148318</v>
      </c>
      <c r="Q16" s="24">
        <f t="shared" si="0"/>
        <v>3.3400621118012421</v>
      </c>
      <c r="U16" s="5" t="s">
        <v>28</v>
      </c>
      <c r="V16">
        <v>1</v>
      </c>
      <c r="W16" s="9">
        <v>1.1888185654008439</v>
      </c>
      <c r="X16" s="9">
        <v>1.9894086496028243</v>
      </c>
      <c r="Y16" s="9">
        <v>3.0542005420054199</v>
      </c>
      <c r="Z16" s="9">
        <v>3.5109034267912773</v>
      </c>
      <c r="AA16" s="9">
        <v>3.9543859649122806</v>
      </c>
    </row>
    <row r="17" spans="1:27" x14ac:dyDescent="0.2">
      <c r="A17" s="5" t="s">
        <v>2</v>
      </c>
      <c r="B17" s="68"/>
      <c r="C17" s="66">
        <v>13.12</v>
      </c>
      <c r="D17">
        <v>14.38</v>
      </c>
      <c r="E17" s="44">
        <v>11.99</v>
      </c>
      <c r="F17" s="55">
        <v>8.19</v>
      </c>
      <c r="G17" s="44">
        <v>5.71</v>
      </c>
      <c r="H17" s="67">
        <v>4</v>
      </c>
      <c r="J17" s="5" t="s">
        <v>2</v>
      </c>
      <c r="K17" s="68"/>
      <c r="L17" s="24">
        <f t="shared" si="1"/>
        <v>1</v>
      </c>
      <c r="M17" s="24">
        <f t="shared" si="0"/>
        <v>0.91237830319888724</v>
      </c>
      <c r="N17" s="24">
        <f t="shared" si="0"/>
        <v>1.0942452043369473</v>
      </c>
      <c r="O17" s="24">
        <f t="shared" si="0"/>
        <v>1.601953601953602</v>
      </c>
      <c r="P17" s="24">
        <f t="shared" si="0"/>
        <v>2.2977232924693518</v>
      </c>
      <c r="Q17" s="24">
        <f t="shared" si="0"/>
        <v>3.28</v>
      </c>
      <c r="U17" s="5" t="s">
        <v>26</v>
      </c>
      <c r="V17">
        <v>1</v>
      </c>
      <c r="W17" s="9">
        <v>1.3177762525737817</v>
      </c>
      <c r="X17" s="9">
        <v>3.8631790744466801</v>
      </c>
      <c r="Y17" s="9">
        <v>10.607734806629834</v>
      </c>
      <c r="Z17" s="9">
        <v>12.307692307692307</v>
      </c>
      <c r="AA17" s="9">
        <v>13.617021276595745</v>
      </c>
    </row>
    <row r="18" spans="1:27" x14ac:dyDescent="0.2">
      <c r="A18" s="5" t="s">
        <v>1</v>
      </c>
      <c r="B18" s="68"/>
      <c r="C18" s="66">
        <v>29.21</v>
      </c>
      <c r="D18">
        <v>33.369999999999997</v>
      </c>
      <c r="E18" s="44">
        <v>30.87</v>
      </c>
      <c r="F18" s="55">
        <v>23.66</v>
      </c>
      <c r="G18" s="44">
        <v>15.99</v>
      </c>
      <c r="H18" s="67">
        <v>10.66</v>
      </c>
      <c r="J18" s="5" t="s">
        <v>1</v>
      </c>
      <c r="K18" s="68"/>
      <c r="L18" s="24">
        <f t="shared" si="1"/>
        <v>1</v>
      </c>
      <c r="M18" s="24">
        <f t="shared" si="0"/>
        <v>0.87533712915792639</v>
      </c>
      <c r="N18" s="24">
        <f t="shared" si="0"/>
        <v>0.94622610949141561</v>
      </c>
      <c r="O18" s="24">
        <f t="shared" si="0"/>
        <v>1.2345731191885039</v>
      </c>
      <c r="P18" s="24">
        <f t="shared" si="0"/>
        <v>1.8267667292057537</v>
      </c>
      <c r="Q18" s="24">
        <f t="shared" si="0"/>
        <v>2.7401500938086305</v>
      </c>
      <c r="U18" s="5" t="s">
        <v>24</v>
      </c>
      <c r="V18">
        <v>1</v>
      </c>
      <c r="W18" s="9">
        <v>1.2337192474674386</v>
      </c>
      <c r="X18" s="9">
        <v>2.6682316118935838</v>
      </c>
      <c r="Y18" s="9">
        <v>5.9201388888888893</v>
      </c>
      <c r="Z18" s="9">
        <v>9.117647058823529</v>
      </c>
      <c r="AA18" s="9">
        <v>10.148809523809524</v>
      </c>
    </row>
    <row r="19" spans="1:27" x14ac:dyDescent="0.2">
      <c r="A19" s="5" t="s">
        <v>0</v>
      </c>
      <c r="B19" s="68"/>
      <c r="C19" s="66">
        <v>32.6</v>
      </c>
      <c r="D19">
        <v>38.18</v>
      </c>
      <c r="E19" s="44">
        <v>35.49</v>
      </c>
      <c r="F19" s="55">
        <v>27.47</v>
      </c>
      <c r="G19" s="44">
        <v>21.71</v>
      </c>
      <c r="H19" s="67">
        <v>17.12</v>
      </c>
      <c r="J19" s="5" t="s">
        <v>0</v>
      </c>
      <c r="K19" s="68"/>
      <c r="L19" s="24">
        <f t="shared" si="1"/>
        <v>1</v>
      </c>
      <c r="M19" s="24">
        <f t="shared" si="0"/>
        <v>0.85385018334206397</v>
      </c>
      <c r="N19" s="24">
        <f t="shared" si="0"/>
        <v>0.91856861087630315</v>
      </c>
      <c r="O19" s="24">
        <f t="shared" si="0"/>
        <v>1.1867491809246451</v>
      </c>
      <c r="P19" s="24">
        <f t="shared" si="0"/>
        <v>1.5016121602947949</v>
      </c>
      <c r="Q19" s="24">
        <f t="shared" si="0"/>
        <v>1.9042056074766356</v>
      </c>
      <c r="U19" s="5" t="s">
        <v>22</v>
      </c>
      <c r="V19">
        <v>1</v>
      </c>
      <c r="W19" s="9">
        <v>1.1477799867461895</v>
      </c>
      <c r="X19" s="9">
        <v>1.5933762649494021</v>
      </c>
      <c r="Y19" s="9">
        <v>2.0817307692307692</v>
      </c>
      <c r="Z19" s="9">
        <v>2.4325842696629212</v>
      </c>
      <c r="AA19" s="9">
        <v>2.6646153846153848</v>
      </c>
    </row>
    <row r="20" spans="1:27" x14ac:dyDescent="0.2">
      <c r="A20" s="3" t="s">
        <v>69</v>
      </c>
      <c r="B20" s="26">
        <v>2051</v>
      </c>
      <c r="C20" s="66">
        <v>35.229999999999997</v>
      </c>
      <c r="D20">
        <v>37.619999999999997</v>
      </c>
      <c r="E20" s="44">
        <v>26.75</v>
      </c>
      <c r="F20" s="55">
        <v>10.18</v>
      </c>
      <c r="G20" s="44">
        <v>4.1399999999999997</v>
      </c>
      <c r="H20" s="67">
        <v>2.94</v>
      </c>
      <c r="J20" s="3" t="s">
        <v>69</v>
      </c>
      <c r="K20" s="26">
        <v>2051</v>
      </c>
      <c r="L20" s="24">
        <f t="shared" si="1"/>
        <v>1</v>
      </c>
      <c r="M20" s="24">
        <f t="shared" si="1"/>
        <v>0.93646996278575223</v>
      </c>
      <c r="N20" s="24">
        <f t="shared" si="1"/>
        <v>1.3170093457943923</v>
      </c>
      <c r="O20" s="24">
        <f t="shared" si="1"/>
        <v>3.4607072691552059</v>
      </c>
      <c r="P20" s="24">
        <f t="shared" si="1"/>
        <v>8.5096618357487923</v>
      </c>
      <c r="Q20" s="24">
        <f t="shared" si="1"/>
        <v>11.98299319727891</v>
      </c>
      <c r="U20" s="7"/>
      <c r="V20" s="9"/>
      <c r="W20" s="9"/>
      <c r="X20" s="9"/>
      <c r="Y20" s="9"/>
      <c r="Z20" s="9"/>
      <c r="AA20" s="9"/>
    </row>
    <row r="21" spans="1:27" x14ac:dyDescent="0.2">
      <c r="A21" s="3" t="s">
        <v>34</v>
      </c>
      <c r="B21" s="26">
        <v>2052</v>
      </c>
      <c r="C21" s="66">
        <v>20.94</v>
      </c>
      <c r="D21" s="41">
        <v>21.45</v>
      </c>
      <c r="E21" s="44">
        <v>13.05</v>
      </c>
      <c r="F21" s="55">
        <v>4.8099999999999996</v>
      </c>
      <c r="G21" s="44">
        <v>2.0499999999999998</v>
      </c>
      <c r="H21" s="67">
        <v>1.39</v>
      </c>
      <c r="J21" s="3" t="s">
        <v>34</v>
      </c>
      <c r="K21" s="26">
        <v>2052</v>
      </c>
      <c r="L21" s="24">
        <f t="shared" si="1"/>
        <v>1</v>
      </c>
      <c r="M21" s="24">
        <f t="shared" si="1"/>
        <v>0.97622377622377632</v>
      </c>
      <c r="N21" s="24">
        <f t="shared" si="1"/>
        <v>1.6045977011494252</v>
      </c>
      <c r="O21" s="24">
        <f t="shared" si="1"/>
        <v>4.3534303534303538</v>
      </c>
      <c r="P21" s="24">
        <f t="shared" si="1"/>
        <v>10.214634146341465</v>
      </c>
      <c r="Q21" s="24">
        <f t="shared" si="1"/>
        <v>15.064748201438851</v>
      </c>
      <c r="U21" s="5" t="s">
        <v>70</v>
      </c>
      <c r="V21">
        <v>1</v>
      </c>
      <c r="W21" s="9">
        <v>0.89962358845671275</v>
      </c>
      <c r="X21" s="9">
        <v>1.1053442959917781</v>
      </c>
      <c r="Y21" s="9">
        <v>1.7346774193548389</v>
      </c>
      <c r="Z21" s="9">
        <v>2.4924681344148318</v>
      </c>
      <c r="AA21" s="9">
        <v>3.3400621118012421</v>
      </c>
    </row>
    <row r="22" spans="1:27" x14ac:dyDescent="0.2">
      <c r="A22" s="3" t="s">
        <v>32</v>
      </c>
      <c r="B22" s="26">
        <v>2053</v>
      </c>
      <c r="C22" s="66">
        <v>14.97</v>
      </c>
      <c r="D22">
        <v>18.21</v>
      </c>
      <c r="E22" s="44">
        <v>17.309999999999999</v>
      </c>
      <c r="F22" s="55">
        <v>14.61</v>
      </c>
      <c r="G22" s="44">
        <v>10.65</v>
      </c>
      <c r="H22" s="67">
        <v>7.06</v>
      </c>
      <c r="J22" s="3" t="s">
        <v>32</v>
      </c>
      <c r="K22" s="26">
        <v>2053</v>
      </c>
      <c r="L22" s="24">
        <f t="shared" si="1"/>
        <v>1</v>
      </c>
      <c r="M22" s="24">
        <f t="shared" si="1"/>
        <v>0.82207578253706759</v>
      </c>
      <c r="N22" s="24">
        <f t="shared" si="1"/>
        <v>0.86481802426343168</v>
      </c>
      <c r="O22" s="24">
        <f t="shared" si="1"/>
        <v>1.0246406570841891</v>
      </c>
      <c r="P22" s="24">
        <f t="shared" si="1"/>
        <v>1.4056338028169013</v>
      </c>
      <c r="Q22" s="24">
        <f t="shared" si="1"/>
        <v>2.1203966005665724</v>
      </c>
      <c r="U22" s="5" t="s">
        <v>2</v>
      </c>
      <c r="V22">
        <v>1</v>
      </c>
      <c r="W22" s="9">
        <v>0.91237830319888724</v>
      </c>
      <c r="X22" s="9">
        <v>1.0942452043369473</v>
      </c>
      <c r="Y22" s="9">
        <v>1.601953601953602</v>
      </c>
      <c r="Z22" s="9">
        <v>2.2977232924693518</v>
      </c>
      <c r="AA22" s="9">
        <v>3.28</v>
      </c>
    </row>
    <row r="23" spans="1:27" x14ac:dyDescent="0.2">
      <c r="A23" s="3" t="s">
        <v>30</v>
      </c>
      <c r="B23" s="26">
        <v>2054</v>
      </c>
      <c r="C23" s="66">
        <v>21.47</v>
      </c>
      <c r="D23">
        <v>23.39</v>
      </c>
      <c r="E23" s="44">
        <v>18.32</v>
      </c>
      <c r="F23" s="55">
        <v>10.75</v>
      </c>
      <c r="G23" s="44">
        <v>5.82</v>
      </c>
      <c r="H23" s="67">
        <v>3.75</v>
      </c>
      <c r="J23" s="3" t="s">
        <v>30</v>
      </c>
      <c r="K23" s="26">
        <v>2054</v>
      </c>
      <c r="L23" s="24">
        <f t="shared" si="1"/>
        <v>1</v>
      </c>
      <c r="M23" s="24">
        <f t="shared" si="1"/>
        <v>0.9179136383069687</v>
      </c>
      <c r="N23" s="24">
        <f t="shared" si="1"/>
        <v>1.1719432314410481</v>
      </c>
      <c r="O23" s="24">
        <f t="shared" si="1"/>
        <v>1.9972093023255812</v>
      </c>
      <c r="P23" s="24">
        <f t="shared" si="1"/>
        <v>3.6890034364261166</v>
      </c>
      <c r="Q23" s="24">
        <f t="shared" si="1"/>
        <v>5.7253333333333334</v>
      </c>
      <c r="U23" s="5" t="s">
        <v>1</v>
      </c>
      <c r="V23">
        <v>1</v>
      </c>
      <c r="W23" s="9">
        <v>0.87533712915792639</v>
      </c>
      <c r="X23" s="9">
        <v>0.94622610949141561</v>
      </c>
      <c r="Y23" s="9">
        <v>1.2345731191885039</v>
      </c>
      <c r="Z23" s="9">
        <v>1.8267667292057537</v>
      </c>
      <c r="AA23" s="9">
        <v>2.7401500938086305</v>
      </c>
    </row>
    <row r="24" spans="1:27" x14ac:dyDescent="0.2">
      <c r="A24" s="5" t="s">
        <v>28</v>
      </c>
      <c r="B24">
        <v>2055</v>
      </c>
      <c r="C24" s="66">
        <v>22.54</v>
      </c>
      <c r="D24">
        <v>18.96</v>
      </c>
      <c r="E24" s="44">
        <v>11.33</v>
      </c>
      <c r="F24" s="55">
        <v>7.38</v>
      </c>
      <c r="G24" s="44">
        <v>6.42</v>
      </c>
      <c r="H24" s="67">
        <v>5.7</v>
      </c>
      <c r="J24" s="5" t="s">
        <v>28</v>
      </c>
      <c r="K24">
        <v>2055</v>
      </c>
      <c r="L24" s="24">
        <f t="shared" si="1"/>
        <v>1</v>
      </c>
      <c r="M24" s="24">
        <f t="shared" si="1"/>
        <v>1.1888185654008439</v>
      </c>
      <c r="N24" s="24">
        <f t="shared" si="1"/>
        <v>1.9894086496028243</v>
      </c>
      <c r="O24" s="24">
        <f t="shared" si="1"/>
        <v>3.0542005420054199</v>
      </c>
      <c r="P24" s="24">
        <f t="shared" si="1"/>
        <v>3.5109034267912773</v>
      </c>
      <c r="Q24" s="24">
        <f t="shared" si="1"/>
        <v>3.9543859649122806</v>
      </c>
      <c r="U24" s="5" t="s">
        <v>0</v>
      </c>
      <c r="V24">
        <v>1</v>
      </c>
      <c r="W24" s="9">
        <v>0.85385018334206397</v>
      </c>
      <c r="X24" s="9">
        <v>0.91856861087630315</v>
      </c>
      <c r="Y24" s="9">
        <v>1.1867491809246451</v>
      </c>
      <c r="Z24" s="9">
        <v>1.5016121602947949</v>
      </c>
      <c r="AA24" s="9">
        <v>1.9042056074766356</v>
      </c>
    </row>
    <row r="25" spans="1:27" x14ac:dyDescent="0.2">
      <c r="A25" s="5" t="s">
        <v>26</v>
      </c>
      <c r="B25" s="7">
        <v>2056</v>
      </c>
      <c r="C25" s="66">
        <v>19.2</v>
      </c>
      <c r="D25">
        <v>14.57</v>
      </c>
      <c r="E25" s="44">
        <v>4.97</v>
      </c>
      <c r="F25" s="55">
        <v>1.81</v>
      </c>
      <c r="G25" s="44">
        <v>1.56</v>
      </c>
      <c r="H25" s="67">
        <v>1.41</v>
      </c>
      <c r="J25" s="5" t="s">
        <v>26</v>
      </c>
      <c r="K25" s="7">
        <v>2056</v>
      </c>
      <c r="L25" s="24">
        <f t="shared" si="1"/>
        <v>1</v>
      </c>
      <c r="M25" s="24">
        <f t="shared" si="1"/>
        <v>1.3177762525737817</v>
      </c>
      <c r="N25" s="24">
        <f t="shared" si="1"/>
        <v>3.8631790744466801</v>
      </c>
      <c r="O25" s="24">
        <f t="shared" si="1"/>
        <v>10.607734806629834</v>
      </c>
      <c r="P25" s="24">
        <f t="shared" si="1"/>
        <v>12.307692307692307</v>
      </c>
      <c r="Q25" s="24">
        <f t="shared" si="1"/>
        <v>13.617021276595745</v>
      </c>
      <c r="U25" s="7"/>
      <c r="V25" s="38"/>
      <c r="W25" s="38"/>
      <c r="X25" s="38"/>
      <c r="Y25" s="38"/>
      <c r="Z25" s="38"/>
      <c r="AA25" s="38"/>
    </row>
    <row r="26" spans="1:27" x14ac:dyDescent="0.2">
      <c r="A26" s="5" t="s">
        <v>24</v>
      </c>
      <c r="B26" s="7">
        <v>2057</v>
      </c>
      <c r="C26" s="66">
        <v>17.05</v>
      </c>
      <c r="D26">
        <v>13.82</v>
      </c>
      <c r="E26" s="44">
        <v>6.39</v>
      </c>
      <c r="F26" s="55">
        <v>2.88</v>
      </c>
      <c r="G26" s="44">
        <v>1.87</v>
      </c>
      <c r="H26" s="67">
        <v>1.68</v>
      </c>
      <c r="J26" s="5" t="s">
        <v>24</v>
      </c>
      <c r="K26" s="7">
        <v>2057</v>
      </c>
      <c r="L26" s="24">
        <f t="shared" si="1"/>
        <v>1</v>
      </c>
      <c r="M26" s="24">
        <f t="shared" si="1"/>
        <v>1.2337192474674386</v>
      </c>
      <c r="N26" s="24">
        <f t="shared" si="1"/>
        <v>2.6682316118935838</v>
      </c>
      <c r="O26" s="24">
        <f t="shared" si="1"/>
        <v>5.9201388888888893</v>
      </c>
      <c r="P26" s="24">
        <f t="shared" si="1"/>
        <v>9.117647058823529</v>
      </c>
      <c r="Q26" s="24">
        <f t="shared" si="1"/>
        <v>10.148809523809524</v>
      </c>
    </row>
    <row r="27" spans="1:27" x14ac:dyDescent="0.2">
      <c r="A27" s="5" t="s">
        <v>22</v>
      </c>
      <c r="B27" s="7">
        <v>2058</v>
      </c>
      <c r="C27" s="66">
        <v>17.32</v>
      </c>
      <c r="D27">
        <v>15.09</v>
      </c>
      <c r="E27" s="44">
        <v>10.87</v>
      </c>
      <c r="F27" s="55">
        <v>8.32</v>
      </c>
      <c r="G27" s="44">
        <v>7.12</v>
      </c>
      <c r="H27" s="67">
        <v>6.5</v>
      </c>
      <c r="J27" s="5" t="s">
        <v>22</v>
      </c>
      <c r="K27" s="7">
        <v>2058</v>
      </c>
      <c r="L27" s="24">
        <f t="shared" si="1"/>
        <v>1</v>
      </c>
      <c r="M27" s="24">
        <f t="shared" si="1"/>
        <v>1.1477799867461895</v>
      </c>
      <c r="N27" s="24">
        <f t="shared" si="1"/>
        <v>1.5933762649494021</v>
      </c>
      <c r="O27" s="24">
        <f t="shared" si="1"/>
        <v>2.0817307692307692</v>
      </c>
      <c r="P27" s="24">
        <f t="shared" si="1"/>
        <v>2.4325842696629212</v>
      </c>
      <c r="Q27" s="24">
        <f t="shared" si="1"/>
        <v>2.6646153846153848</v>
      </c>
    </row>
    <row r="28" spans="1:27" x14ac:dyDescent="0.2">
      <c r="A28" s="3" t="s">
        <v>20</v>
      </c>
      <c r="C28" s="66">
        <v>0.01</v>
      </c>
      <c r="D28">
        <v>0.02</v>
      </c>
      <c r="E28" s="44">
        <v>0.04</v>
      </c>
      <c r="F28" s="55">
        <v>0.02</v>
      </c>
      <c r="G28" s="44">
        <v>0.03</v>
      </c>
      <c r="H28" s="67">
        <v>0</v>
      </c>
      <c r="O28" s="24"/>
      <c r="P28" s="24"/>
      <c r="Q28" s="24"/>
    </row>
    <row r="29" spans="1:27" x14ac:dyDescent="0.2">
      <c r="A29" s="3" t="s">
        <v>20</v>
      </c>
      <c r="C29" s="66">
        <v>0</v>
      </c>
      <c r="D29">
        <v>0</v>
      </c>
      <c r="E29" s="44">
        <v>0.01</v>
      </c>
      <c r="F29" s="55">
        <v>0.01</v>
      </c>
      <c r="G29" s="44">
        <v>0</v>
      </c>
      <c r="H29" s="67">
        <v>0.01</v>
      </c>
      <c r="O29" s="24"/>
      <c r="P29" s="24"/>
      <c r="Q29" s="24"/>
      <c r="U29" s="7" t="s">
        <v>64</v>
      </c>
      <c r="V29" s="19" t="s">
        <v>19</v>
      </c>
      <c r="W29" s="19" t="s">
        <v>18</v>
      </c>
      <c r="X29" s="19" t="s">
        <v>17</v>
      </c>
      <c r="Y29" s="19" t="s">
        <v>16</v>
      </c>
      <c r="Z29" s="19" t="s">
        <v>15</v>
      </c>
      <c r="AA29" s="19" t="s">
        <v>14</v>
      </c>
    </row>
    <row r="30" spans="1:27" x14ac:dyDescent="0.2">
      <c r="A30" s="3" t="s">
        <v>20</v>
      </c>
      <c r="C30" s="66">
        <v>0.01</v>
      </c>
      <c r="D30">
        <v>0.02</v>
      </c>
      <c r="E30" s="44">
        <v>0.02</v>
      </c>
      <c r="F30" s="55">
        <v>0</v>
      </c>
      <c r="G30" s="44">
        <v>0.01</v>
      </c>
      <c r="H30" s="67">
        <v>0.01</v>
      </c>
      <c r="O30" s="24"/>
      <c r="P30" s="24"/>
      <c r="Q30" s="24"/>
      <c r="U30" s="18" t="s">
        <v>13</v>
      </c>
      <c r="V30" s="16">
        <v>1</v>
      </c>
      <c r="W30" s="16">
        <v>1.0675971515052272</v>
      </c>
      <c r="X30" s="16">
        <v>1.8840704879425985</v>
      </c>
      <c r="Y30" s="16">
        <v>1.8840704879425985</v>
      </c>
      <c r="Z30" s="16">
        <v>6.3984700355379136</v>
      </c>
      <c r="AA30" s="16">
        <v>8.1597879353188247</v>
      </c>
    </row>
    <row r="31" spans="1:27" x14ac:dyDescent="0.2">
      <c r="A31" s="3" t="s">
        <v>20</v>
      </c>
      <c r="C31" s="69">
        <v>0</v>
      </c>
      <c r="D31" s="60">
        <v>0.01</v>
      </c>
      <c r="E31" s="61">
        <v>0.04</v>
      </c>
      <c r="F31" s="62">
        <v>0.06</v>
      </c>
      <c r="G31" s="45">
        <v>0.02</v>
      </c>
      <c r="H31" s="70">
        <v>0.04</v>
      </c>
      <c r="O31" s="24"/>
      <c r="P31" s="24"/>
      <c r="Q31" s="24"/>
      <c r="U31" s="13" t="s">
        <v>12</v>
      </c>
      <c r="V31" s="11">
        <v>1</v>
      </c>
      <c r="W31" s="11">
        <v>0.86246814478854783</v>
      </c>
      <c r="X31" s="11">
        <v>0.93068709670324234</v>
      </c>
      <c r="Y31" s="11">
        <v>0.93068709670324234</v>
      </c>
      <c r="Z31" s="11">
        <v>1.0993306981719768</v>
      </c>
      <c r="AA31" s="11">
        <v>1.1898158430503143</v>
      </c>
    </row>
    <row r="32" spans="1:27" x14ac:dyDescent="0.2">
      <c r="K32" s="7" t="s">
        <v>64</v>
      </c>
      <c r="L32" s="19" t="s">
        <v>19</v>
      </c>
      <c r="M32" s="19" t="s">
        <v>18</v>
      </c>
      <c r="N32" s="19" t="s">
        <v>17</v>
      </c>
      <c r="O32" s="19" t="s">
        <v>16</v>
      </c>
      <c r="P32" s="20" t="s">
        <v>15</v>
      </c>
      <c r="Q32" s="19" t="s">
        <v>14</v>
      </c>
      <c r="U32" s="7" t="s">
        <v>10</v>
      </c>
      <c r="V32" s="9">
        <v>1</v>
      </c>
      <c r="W32" s="9">
        <v>0.88529730103889759</v>
      </c>
      <c r="X32" s="9">
        <v>1.0160960551741112</v>
      </c>
      <c r="Y32" s="9">
        <v>1.0160960551741112</v>
      </c>
      <c r="Z32" s="9">
        <v>2.029642579096183</v>
      </c>
      <c r="AA32" s="9">
        <v>2.8161044532716271</v>
      </c>
    </row>
    <row r="33" spans="3:17" x14ac:dyDescent="0.2">
      <c r="K33" s="18" t="s">
        <v>13</v>
      </c>
      <c r="L33" s="16">
        <f t="shared" ref="L33:Q33" si="2">AVERAGE(L20:L27)</f>
        <v>1</v>
      </c>
      <c r="M33" s="16">
        <f t="shared" si="2"/>
        <v>1.0675971515052272</v>
      </c>
      <c r="N33" s="16">
        <f t="shared" si="2"/>
        <v>1.8840704879425985</v>
      </c>
      <c r="O33" s="16">
        <f>AVERAGE(O20:O27)</f>
        <v>4.0624740735937799</v>
      </c>
      <c r="P33" s="17">
        <f t="shared" si="2"/>
        <v>6.3984700355379136</v>
      </c>
      <c r="Q33" s="16">
        <f t="shared" si="2"/>
        <v>8.1597879353188247</v>
      </c>
    </row>
    <row r="34" spans="3:17" x14ac:dyDescent="0.2">
      <c r="K34" s="13" t="s">
        <v>12</v>
      </c>
      <c r="L34" s="11">
        <f t="shared" ref="L34:Q34" si="3">AVERAGE(L12:L15)</f>
        <v>1</v>
      </c>
      <c r="M34" s="11">
        <f t="shared" si="3"/>
        <v>0.86246814478854783</v>
      </c>
      <c r="N34" s="11">
        <f t="shared" si="3"/>
        <v>0.93068709670324234</v>
      </c>
      <c r="O34" s="11">
        <f t="shared" si="3"/>
        <v>0.99262108370733293</v>
      </c>
      <c r="P34" s="12">
        <f t="shared" si="3"/>
        <v>1.0993306981719768</v>
      </c>
      <c r="Q34" s="11">
        <f t="shared" si="3"/>
        <v>1.1898158430503143</v>
      </c>
    </row>
    <row r="35" spans="3:17" x14ac:dyDescent="0.2">
      <c r="K35" s="7" t="s">
        <v>10</v>
      </c>
      <c r="L35" s="9">
        <f>AVERAGE(L16:L19)</f>
        <v>1</v>
      </c>
      <c r="M35" s="9">
        <f t="shared" ref="M35:Q35" si="4">AVERAGE(M16:M19)</f>
        <v>0.88529730103889759</v>
      </c>
      <c r="N35" s="9">
        <f t="shared" si="4"/>
        <v>1.0160960551741112</v>
      </c>
      <c r="O35" s="9">
        <f t="shared" si="4"/>
        <v>1.4394883303553974</v>
      </c>
      <c r="P35" s="10">
        <f t="shared" si="4"/>
        <v>2.029642579096183</v>
      </c>
      <c r="Q35" s="9">
        <f t="shared" si="4"/>
        <v>2.8161044532716271</v>
      </c>
    </row>
    <row r="36" spans="3:17" x14ac:dyDescent="0.2">
      <c r="C36" s="22"/>
      <c r="E36" s="22"/>
      <c r="F36" s="22"/>
      <c r="G36" s="21"/>
      <c r="H36" s="21"/>
      <c r="P36" s="71"/>
    </row>
    <row r="37" spans="3:17" x14ac:dyDescent="0.2">
      <c r="K37" s="7" t="s">
        <v>10</v>
      </c>
      <c r="O37" s="1">
        <f>(O35-O$34)/(O$33-O$34)</f>
        <v>0.14556633432293248</v>
      </c>
      <c r="P37" s="8">
        <f>(P35-P$34)/(P$33-P$34)</f>
        <v>0.1755590524605152</v>
      </c>
      <c r="Q37" s="40">
        <f>(Q35-Q$34)/(Q$33-Q$34)</f>
        <v>0.23332785105772297</v>
      </c>
    </row>
    <row r="38" spans="3:17" x14ac:dyDescent="0.2">
      <c r="K38" s="7" t="s">
        <v>9</v>
      </c>
      <c r="N38" s="1"/>
      <c r="O38" s="1">
        <f>(O34-O$34)/O$33</f>
        <v>0</v>
      </c>
      <c r="P38" s="6">
        <f>(P34-P$34)/P$33</f>
        <v>0</v>
      </c>
      <c r="Q38" s="40">
        <f>(Q34-Q$34)/Q$33</f>
        <v>0</v>
      </c>
    </row>
    <row r="40" spans="3:17" x14ac:dyDescent="0.2">
      <c r="K40" s="2" t="s">
        <v>3</v>
      </c>
      <c r="O40" s="1">
        <f t="shared" ref="O40:Q43" si="5">(O16-O$34)/(O$33-O$34)</f>
        <v>0.2417237366389178</v>
      </c>
      <c r="P40" s="1">
        <f t="shared" si="5"/>
        <v>0.26289881196733111</v>
      </c>
      <c r="Q40" s="1">
        <f t="shared" si="5"/>
        <v>0.30850141726336372</v>
      </c>
    </row>
    <row r="41" spans="3:17" x14ac:dyDescent="0.2">
      <c r="H41" s="7"/>
      <c r="K41" s="2" t="s">
        <v>2</v>
      </c>
      <c r="O41" s="1">
        <f t="shared" si="5"/>
        <v>0.19848915249482618</v>
      </c>
      <c r="P41" s="1">
        <f t="shared" si="5"/>
        <v>0.22614853431898332</v>
      </c>
      <c r="Q41" s="1">
        <f t="shared" si="5"/>
        <v>0.29988415007690444</v>
      </c>
    </row>
    <row r="42" spans="3:17" x14ac:dyDescent="0.2">
      <c r="K42" s="2" t="s">
        <v>1</v>
      </c>
      <c r="O42" s="1">
        <f t="shared" si="5"/>
        <v>7.8815512103763863E-2</v>
      </c>
      <c r="P42" s="1">
        <f t="shared" si="5"/>
        <v>0.13727437319951022</v>
      </c>
      <c r="Q42" s="1">
        <f t="shared" si="5"/>
        <v>0.22243048182044159</v>
      </c>
    </row>
    <row r="43" spans="3:17" x14ac:dyDescent="0.2">
      <c r="K43" s="2" t="s">
        <v>0</v>
      </c>
      <c r="O43" s="1">
        <f t="shared" si="5"/>
        <v>6.3236936054222231E-2</v>
      </c>
      <c r="P43" s="1">
        <f t="shared" si="5"/>
        <v>7.5914490356236181E-2</v>
      </c>
      <c r="Q43" s="1">
        <f t="shared" si="5"/>
        <v>0.10249535507018213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2919C-884E-E54E-936D-D0149CB99D9D}">
  <dimension ref="A1:AA43"/>
  <sheetViews>
    <sheetView topLeftCell="E12" workbookViewId="0">
      <selection activeCell="U21" sqref="U21:U24"/>
    </sheetView>
  </sheetViews>
  <sheetFormatPr baseColWidth="10" defaultRowHeight="16" x14ac:dyDescent="0.2"/>
  <cols>
    <col min="1" max="1" width="12.1640625" customWidth="1"/>
    <col min="2" max="2" width="6.5" customWidth="1"/>
    <col min="3" max="8" width="8.5" customWidth="1"/>
    <col min="9" max="9" width="11.33203125" customWidth="1"/>
    <col min="11" max="11" width="6.5" customWidth="1"/>
    <col min="12" max="17" width="8" customWidth="1"/>
    <col min="21" max="22" width="7.33203125" customWidth="1"/>
    <col min="23" max="27" width="7.5" customWidth="1"/>
  </cols>
  <sheetData>
    <row r="1" spans="1:27" x14ac:dyDescent="0.2">
      <c r="A1" s="36" t="s">
        <v>71</v>
      </c>
    </row>
    <row r="2" spans="1:27" x14ac:dyDescent="0.2">
      <c r="A2" s="37" t="s">
        <v>61</v>
      </c>
      <c r="E2" t="s">
        <v>72</v>
      </c>
    </row>
    <row r="3" spans="1:27" x14ac:dyDescent="0.2">
      <c r="A3" s="36"/>
      <c r="B3" t="s">
        <v>48</v>
      </c>
      <c r="E3" t="s">
        <v>73</v>
      </c>
    </row>
    <row r="4" spans="1:27" x14ac:dyDescent="0.2">
      <c r="A4" t="s">
        <v>55</v>
      </c>
      <c r="F4" t="s">
        <v>74</v>
      </c>
      <c r="U4" s="42" t="s">
        <v>75</v>
      </c>
    </row>
    <row r="5" spans="1:27" x14ac:dyDescent="0.2">
      <c r="U5" s="7"/>
      <c r="X5" s="9"/>
      <c r="Z5" s="9"/>
      <c r="AA5" s="9"/>
    </row>
    <row r="6" spans="1:27" x14ac:dyDescent="0.2">
      <c r="A6" t="s">
        <v>47</v>
      </c>
      <c r="C6" t="s">
        <v>65</v>
      </c>
      <c r="V6" s="35" t="s">
        <v>19</v>
      </c>
      <c r="W6" s="35" t="s">
        <v>18</v>
      </c>
      <c r="X6" s="35" t="s">
        <v>17</v>
      </c>
      <c r="Y6" s="35" t="s">
        <v>16</v>
      </c>
      <c r="Z6" s="35" t="s">
        <v>15</v>
      </c>
      <c r="AA6" s="35" t="s">
        <v>14</v>
      </c>
    </row>
    <row r="7" spans="1:27" x14ac:dyDescent="0.2">
      <c r="A7" t="s">
        <v>66</v>
      </c>
      <c r="U7" s="3" t="s">
        <v>44</v>
      </c>
      <c r="V7">
        <v>1</v>
      </c>
      <c r="W7" s="9">
        <v>0.83335778201554933</v>
      </c>
      <c r="X7" s="9">
        <v>0.99075688873386814</v>
      </c>
      <c r="Y7" s="9">
        <v>0.97527896995708163</v>
      </c>
      <c r="Z7" s="9">
        <v>1.0325336241366776</v>
      </c>
      <c r="AA7" s="9">
        <v>1.0941833590138674</v>
      </c>
    </row>
    <row r="8" spans="1:27" x14ac:dyDescent="0.2">
      <c r="A8" t="s">
        <v>57</v>
      </c>
      <c r="U8" s="3" t="s">
        <v>42</v>
      </c>
      <c r="V8">
        <v>1</v>
      </c>
      <c r="W8" s="9">
        <v>0.80671882190520017</v>
      </c>
      <c r="X8" s="9">
        <v>0.97199889104518999</v>
      </c>
      <c r="Y8" s="9">
        <v>0.9920769666100735</v>
      </c>
      <c r="Z8" s="9">
        <v>1.0394307737918769</v>
      </c>
      <c r="AA8" s="9">
        <v>1.0797659377887281</v>
      </c>
    </row>
    <row r="9" spans="1:27" x14ac:dyDescent="0.2">
      <c r="B9" t="s">
        <v>67</v>
      </c>
      <c r="K9" t="s">
        <v>76</v>
      </c>
      <c r="U9" s="3" t="s">
        <v>41</v>
      </c>
      <c r="V9">
        <v>1</v>
      </c>
      <c r="W9" s="9">
        <v>0.82795507220538411</v>
      </c>
      <c r="X9" s="9">
        <v>1.0805025593299209</v>
      </c>
      <c r="Y9" s="9">
        <v>0.99571183533447682</v>
      </c>
      <c r="Z9" s="9">
        <v>1.0583409298085686</v>
      </c>
      <c r="AA9" s="9">
        <v>1.1444061113849187</v>
      </c>
    </row>
    <row r="10" spans="1:27" x14ac:dyDescent="0.2">
      <c r="A10" s="34" t="s">
        <v>77</v>
      </c>
      <c r="B10" s="34"/>
      <c r="C10" s="15">
        <v>45945</v>
      </c>
      <c r="D10" s="15">
        <f>C10+3</f>
        <v>45948</v>
      </c>
      <c r="E10" s="15">
        <f>C10+6</f>
        <v>45951</v>
      </c>
      <c r="F10" s="15">
        <f>C10+9</f>
        <v>45954</v>
      </c>
      <c r="G10" s="15">
        <f>C10+12</f>
        <v>45957</v>
      </c>
      <c r="H10" s="14">
        <f>C10+15</f>
        <v>45960</v>
      </c>
      <c r="K10" s="47"/>
      <c r="L10" s="15">
        <v>45945</v>
      </c>
      <c r="M10" s="15">
        <f>L10+3</f>
        <v>45948</v>
      </c>
      <c r="N10" s="15">
        <f>L10+6</f>
        <v>45951</v>
      </c>
      <c r="O10" s="15">
        <f>L10+9</f>
        <v>45954</v>
      </c>
      <c r="P10" s="15">
        <f>L10+12</f>
        <v>45957</v>
      </c>
      <c r="Q10" s="14">
        <f>L10+15</f>
        <v>45960</v>
      </c>
      <c r="U10" s="3" t="s">
        <v>68</v>
      </c>
      <c r="V10">
        <v>1</v>
      </c>
      <c r="W10" s="9">
        <v>0.80272882319499705</v>
      </c>
      <c r="X10" s="9">
        <v>1.1132720105124836</v>
      </c>
      <c r="Y10" s="9">
        <v>0.96207131501249143</v>
      </c>
      <c r="Z10" s="9">
        <v>0.98055555555555551</v>
      </c>
      <c r="AA10" s="9">
        <v>1.0234356124667794</v>
      </c>
    </row>
    <row r="11" spans="1:27" x14ac:dyDescent="0.2">
      <c r="A11" s="48" t="s">
        <v>46</v>
      </c>
      <c r="B11" s="49" t="s">
        <v>45</v>
      </c>
      <c r="C11" s="32" t="s">
        <v>19</v>
      </c>
      <c r="D11" s="32" t="s">
        <v>18</v>
      </c>
      <c r="E11" s="33" t="s">
        <v>17</v>
      </c>
      <c r="F11" s="32" t="s">
        <v>16</v>
      </c>
      <c r="G11" s="32" t="s">
        <v>15</v>
      </c>
      <c r="H11" s="31" t="s">
        <v>14</v>
      </c>
      <c r="K11" s="48" t="s">
        <v>45</v>
      </c>
      <c r="L11" s="32" t="s">
        <v>19</v>
      </c>
      <c r="M11" s="32" t="s">
        <v>18</v>
      </c>
      <c r="N11" s="33" t="s">
        <v>17</v>
      </c>
      <c r="O11" s="32" t="s">
        <v>16</v>
      </c>
      <c r="P11" s="32" t="s">
        <v>15</v>
      </c>
      <c r="Q11" s="31" t="s">
        <v>14</v>
      </c>
      <c r="V11" s="9"/>
      <c r="W11" s="9"/>
      <c r="X11" s="9"/>
      <c r="Y11" s="9"/>
      <c r="Z11" s="9"/>
      <c r="AA11" s="9"/>
    </row>
    <row r="12" spans="1:27" x14ac:dyDescent="0.2">
      <c r="A12" s="3" t="s">
        <v>44</v>
      </c>
      <c r="B12" s="64">
        <v>2035</v>
      </c>
      <c r="C12" s="50">
        <v>56.81</v>
      </c>
      <c r="D12" s="51">
        <v>68.17</v>
      </c>
      <c r="E12" s="43">
        <v>57.34</v>
      </c>
      <c r="F12" s="52">
        <v>58.25</v>
      </c>
      <c r="G12" s="43">
        <v>55.02</v>
      </c>
      <c r="H12" s="67">
        <v>51.92</v>
      </c>
      <c r="J12" s="3" t="s">
        <v>44</v>
      </c>
      <c r="K12" s="64">
        <v>2035</v>
      </c>
      <c r="L12" s="24">
        <f>($C12-$C$37)/(C12-C$37)</f>
        <v>1</v>
      </c>
      <c r="M12" s="24">
        <f t="shared" ref="M12:Q19" si="0">($C12-$C$37)/(D12-D$37)</f>
        <v>0.83335778201554933</v>
      </c>
      <c r="N12" s="24">
        <f t="shared" si="0"/>
        <v>0.99075688873386814</v>
      </c>
      <c r="O12" s="24">
        <f t="shared" si="0"/>
        <v>0.97527896995708163</v>
      </c>
      <c r="P12" s="24">
        <f t="shared" si="0"/>
        <v>1.0325336241366776</v>
      </c>
      <c r="Q12" s="24">
        <f t="shared" si="0"/>
        <v>1.0941833590138674</v>
      </c>
      <c r="U12" s="3" t="s">
        <v>69</v>
      </c>
      <c r="V12">
        <v>1</v>
      </c>
      <c r="W12" s="9">
        <v>0.92092950717404853</v>
      </c>
      <c r="X12" s="9">
        <v>1.1247619047619046</v>
      </c>
      <c r="Y12" s="9">
        <v>1.7408608490566035</v>
      </c>
      <c r="Z12" s="9">
        <v>2.7658079625292737</v>
      </c>
      <c r="AA12" s="9">
        <v>4.2635379061371843</v>
      </c>
    </row>
    <row r="13" spans="1:27" x14ac:dyDescent="0.2">
      <c r="A13" s="3" t="s">
        <v>42</v>
      </c>
      <c r="B13" s="26">
        <v>277</v>
      </c>
      <c r="C13" s="54">
        <v>35.06</v>
      </c>
      <c r="D13">
        <v>43.46</v>
      </c>
      <c r="E13" s="44">
        <v>36.07</v>
      </c>
      <c r="F13" s="55">
        <v>35.340000000000003</v>
      </c>
      <c r="G13" s="44">
        <v>33.729999999999997</v>
      </c>
      <c r="H13" s="67">
        <v>32.47</v>
      </c>
      <c r="J13" s="3" t="s">
        <v>42</v>
      </c>
      <c r="K13" s="26">
        <v>277</v>
      </c>
      <c r="L13" s="24">
        <f t="shared" ref="L13:Q27" si="1">($C13-$C$37)/(C13-C$37)</f>
        <v>1</v>
      </c>
      <c r="M13" s="24">
        <f t="shared" si="0"/>
        <v>0.80671882190520017</v>
      </c>
      <c r="N13" s="24">
        <f t="shared" si="0"/>
        <v>0.97199889104518999</v>
      </c>
      <c r="O13" s="24">
        <f t="shared" si="0"/>
        <v>0.9920769666100735</v>
      </c>
      <c r="P13" s="24">
        <f t="shared" si="0"/>
        <v>1.0394307737918769</v>
      </c>
      <c r="Q13" s="24">
        <f t="shared" si="0"/>
        <v>1.0797659377887281</v>
      </c>
      <c r="U13" s="3" t="s">
        <v>34</v>
      </c>
      <c r="V13">
        <v>1</v>
      </c>
      <c r="W13" s="9">
        <v>0.86627785877942109</v>
      </c>
      <c r="X13" s="9">
        <v>1.0732903225806452</v>
      </c>
      <c r="Y13" s="9">
        <v>1.7101151315789476</v>
      </c>
      <c r="Z13" s="9">
        <v>2.9559346126510309</v>
      </c>
      <c r="AA13" s="9">
        <v>4.615982241953386</v>
      </c>
    </row>
    <row r="14" spans="1:27" x14ac:dyDescent="0.2">
      <c r="A14" s="3" t="s">
        <v>41</v>
      </c>
      <c r="B14" s="26">
        <v>2037</v>
      </c>
      <c r="C14" s="54">
        <v>46.44</v>
      </c>
      <c r="D14">
        <v>56.09</v>
      </c>
      <c r="E14" s="44">
        <v>42.98</v>
      </c>
      <c r="F14" s="55">
        <v>46.64</v>
      </c>
      <c r="G14" s="44">
        <v>43.88</v>
      </c>
      <c r="H14" s="67">
        <v>40.58</v>
      </c>
      <c r="J14" s="3" t="s">
        <v>41</v>
      </c>
      <c r="K14" s="26">
        <v>2037</v>
      </c>
      <c r="L14" s="24">
        <f t="shared" si="1"/>
        <v>1</v>
      </c>
      <c r="M14" s="24">
        <f t="shared" si="0"/>
        <v>0.82795507220538411</v>
      </c>
      <c r="N14" s="24">
        <f t="shared" si="0"/>
        <v>1.0805025593299209</v>
      </c>
      <c r="O14" s="24">
        <f t="shared" si="0"/>
        <v>0.99571183533447682</v>
      </c>
      <c r="P14" s="24">
        <f t="shared" si="0"/>
        <v>1.0583409298085686</v>
      </c>
      <c r="Q14" s="24">
        <f t="shared" si="0"/>
        <v>1.1444061113849187</v>
      </c>
      <c r="U14" s="3" t="s">
        <v>32</v>
      </c>
      <c r="V14">
        <v>1</v>
      </c>
      <c r="W14" s="9">
        <v>0.80631467232687726</v>
      </c>
      <c r="X14" s="9">
        <v>1.0277308082516063</v>
      </c>
      <c r="Y14" s="9">
        <v>1.2040412044374011</v>
      </c>
      <c r="Z14" s="9">
        <v>1.4069444444444443</v>
      </c>
      <c r="AA14" s="9">
        <v>1.6588427947598254</v>
      </c>
    </row>
    <row r="15" spans="1:27" x14ac:dyDescent="0.2">
      <c r="A15" s="3" t="s">
        <v>68</v>
      </c>
      <c r="B15" s="26">
        <v>2038</v>
      </c>
      <c r="C15" s="54">
        <v>42.36</v>
      </c>
      <c r="D15">
        <v>52.77</v>
      </c>
      <c r="E15" s="44">
        <v>38.049999999999997</v>
      </c>
      <c r="F15" s="55">
        <v>44.03</v>
      </c>
      <c r="G15" s="44">
        <v>43.2</v>
      </c>
      <c r="H15" s="67">
        <v>41.39</v>
      </c>
      <c r="J15" s="3" t="s">
        <v>68</v>
      </c>
      <c r="K15" s="26">
        <v>2038</v>
      </c>
      <c r="L15" s="24">
        <f t="shared" si="1"/>
        <v>1</v>
      </c>
      <c r="M15" s="24">
        <f t="shared" si="0"/>
        <v>0.80272882319499705</v>
      </c>
      <c r="N15" s="24">
        <f t="shared" si="0"/>
        <v>1.1132720105124836</v>
      </c>
      <c r="O15" s="24">
        <f t="shared" si="0"/>
        <v>0.96207131501249143</v>
      </c>
      <c r="P15" s="24">
        <f t="shared" si="0"/>
        <v>0.98055555555555551</v>
      </c>
      <c r="Q15" s="24">
        <f t="shared" si="0"/>
        <v>1.0234356124667794</v>
      </c>
      <c r="U15" s="3" t="s">
        <v>30</v>
      </c>
      <c r="V15">
        <v>1</v>
      </c>
      <c r="W15" s="9">
        <v>0.88346825734980827</v>
      </c>
      <c r="X15" s="9">
        <v>1.1774559909142532</v>
      </c>
      <c r="Y15" s="9">
        <v>1.6017767477790652</v>
      </c>
      <c r="Z15" s="9">
        <v>1.9985542168674699</v>
      </c>
      <c r="AA15" s="9">
        <v>2.6180555555555554</v>
      </c>
    </row>
    <row r="16" spans="1:27" x14ac:dyDescent="0.2">
      <c r="A16" s="5" t="s">
        <v>70</v>
      </c>
      <c r="B16" s="68"/>
      <c r="C16" s="54">
        <v>49.55</v>
      </c>
      <c r="D16">
        <v>48.43</v>
      </c>
      <c r="E16" s="44">
        <v>34.96</v>
      </c>
      <c r="F16" s="55">
        <v>22.18</v>
      </c>
      <c r="G16" s="44">
        <v>12.92</v>
      </c>
      <c r="H16" s="67">
        <v>9.07</v>
      </c>
      <c r="J16" s="5" t="s">
        <v>70</v>
      </c>
      <c r="K16" s="68"/>
      <c r="L16" s="24">
        <f t="shared" si="1"/>
        <v>1</v>
      </c>
      <c r="M16" s="24">
        <f t="shared" si="0"/>
        <v>1.023126161470163</v>
      </c>
      <c r="N16" s="24">
        <f t="shared" si="0"/>
        <v>1.4173340961098397</v>
      </c>
      <c r="O16" s="24">
        <f t="shared" si="0"/>
        <v>2.2339945897204689</v>
      </c>
      <c r="P16" s="24">
        <f t="shared" si="0"/>
        <v>3.8351393188854486</v>
      </c>
      <c r="Q16" s="24">
        <f t="shared" si="0"/>
        <v>5.4630650496141122</v>
      </c>
      <c r="U16" s="5" t="s">
        <v>28</v>
      </c>
      <c r="V16">
        <v>1</v>
      </c>
      <c r="W16" s="9">
        <v>0.99923195084485406</v>
      </c>
      <c r="X16" s="9">
        <v>1.9118295371050698</v>
      </c>
      <c r="Y16" s="9">
        <v>2.9219539584503091</v>
      </c>
      <c r="Z16" s="9">
        <v>3.7251252684323548</v>
      </c>
      <c r="AA16" s="9">
        <v>4.1799196787148594</v>
      </c>
    </row>
    <row r="17" spans="1:27" x14ac:dyDescent="0.2">
      <c r="A17" s="5" t="s">
        <v>2</v>
      </c>
      <c r="B17" s="68"/>
      <c r="C17" s="54">
        <v>37.74</v>
      </c>
      <c r="D17">
        <v>35.56</v>
      </c>
      <c r="E17" s="44">
        <v>27.11</v>
      </c>
      <c r="F17" s="55">
        <v>17.37</v>
      </c>
      <c r="G17" s="44">
        <v>12.07</v>
      </c>
      <c r="H17" s="67">
        <v>9.31</v>
      </c>
      <c r="J17" s="5" t="s">
        <v>2</v>
      </c>
      <c r="K17" s="68"/>
      <c r="L17" s="24">
        <f t="shared" si="1"/>
        <v>1</v>
      </c>
      <c r="M17" s="24">
        <f t="shared" si="0"/>
        <v>1.0613048368953881</v>
      </c>
      <c r="N17" s="24">
        <f t="shared" si="0"/>
        <v>1.3921062338620436</v>
      </c>
      <c r="O17" s="24">
        <f t="shared" si="0"/>
        <v>2.1727115716753023</v>
      </c>
      <c r="P17" s="24">
        <f t="shared" si="0"/>
        <v>3.126760563380282</v>
      </c>
      <c r="Q17" s="24">
        <f t="shared" si="0"/>
        <v>4.0537056928034367</v>
      </c>
      <c r="U17" s="5" t="s">
        <v>26</v>
      </c>
      <c r="V17">
        <v>1</v>
      </c>
      <c r="W17" s="9">
        <v>1.0176155220832268</v>
      </c>
      <c r="X17" s="9">
        <v>2.1901098901098903</v>
      </c>
      <c r="Y17" s="9">
        <v>3.6269335759781618</v>
      </c>
      <c r="Z17" s="9">
        <v>5.3217623497997328</v>
      </c>
      <c r="AA17" s="9">
        <v>7.1561938958707358</v>
      </c>
    </row>
    <row r="18" spans="1:27" x14ac:dyDescent="0.2">
      <c r="A18" s="5" t="s">
        <v>1</v>
      </c>
      <c r="B18" s="68"/>
      <c r="C18" s="54">
        <v>56.36</v>
      </c>
      <c r="D18">
        <v>59.42</v>
      </c>
      <c r="E18" s="44">
        <v>39.950000000000003</v>
      </c>
      <c r="F18" s="55">
        <v>36.85</v>
      </c>
      <c r="G18" s="44">
        <v>26.13</v>
      </c>
      <c r="H18" s="67">
        <v>20.420000000000002</v>
      </c>
      <c r="J18" s="5" t="s">
        <v>1</v>
      </c>
      <c r="K18" s="68"/>
      <c r="L18" s="24">
        <f t="shared" si="1"/>
        <v>1</v>
      </c>
      <c r="M18" s="24">
        <f t="shared" si="0"/>
        <v>0.94850218781555029</v>
      </c>
      <c r="N18" s="24">
        <f t="shared" si="0"/>
        <v>1.4107634543178973</v>
      </c>
      <c r="O18" s="24">
        <f t="shared" si="0"/>
        <v>1.5294436906377205</v>
      </c>
      <c r="P18" s="24">
        <f t="shared" si="0"/>
        <v>2.1569077688480673</v>
      </c>
      <c r="Q18" s="24">
        <f t="shared" si="0"/>
        <v>2.7600391772771791</v>
      </c>
      <c r="U18" s="5" t="s">
        <v>24</v>
      </c>
      <c r="V18">
        <v>1</v>
      </c>
      <c r="W18" s="9">
        <v>0.88740644321509921</v>
      </c>
      <c r="X18" s="9">
        <v>1.6319569120287252</v>
      </c>
      <c r="Y18" s="9">
        <v>2.2537190082644627</v>
      </c>
      <c r="Z18" s="9">
        <v>3.0066152149944871</v>
      </c>
      <c r="AA18" s="9">
        <v>3.8626062322946177</v>
      </c>
    </row>
    <row r="19" spans="1:27" x14ac:dyDescent="0.2">
      <c r="A19" s="5" t="s">
        <v>0</v>
      </c>
      <c r="B19" s="68"/>
      <c r="C19" s="54">
        <v>54.38</v>
      </c>
      <c r="D19">
        <v>52.01</v>
      </c>
      <c r="E19" s="44">
        <v>39.61</v>
      </c>
      <c r="F19" s="55">
        <v>32.74</v>
      </c>
      <c r="G19" s="44">
        <v>27.03</v>
      </c>
      <c r="H19" s="67">
        <v>23.09</v>
      </c>
      <c r="J19" s="5" t="s">
        <v>0</v>
      </c>
      <c r="K19" s="68"/>
      <c r="L19" s="24">
        <f t="shared" si="1"/>
        <v>1</v>
      </c>
      <c r="M19" s="24">
        <f t="shared" si="0"/>
        <v>1.0455681599692368</v>
      </c>
      <c r="N19" s="24">
        <f t="shared" si="0"/>
        <v>1.3728856349406717</v>
      </c>
      <c r="O19" s="24">
        <f t="shared" si="0"/>
        <v>1.660965180207697</v>
      </c>
      <c r="P19" s="24">
        <f t="shared" si="0"/>
        <v>2.0118386977432481</v>
      </c>
      <c r="Q19" s="24">
        <f t="shared" si="0"/>
        <v>2.3551320918146383</v>
      </c>
      <c r="U19" s="5" t="s">
        <v>22</v>
      </c>
      <c r="V19">
        <v>1</v>
      </c>
      <c r="W19" s="9">
        <v>0.90460194827007057</v>
      </c>
      <c r="X19" s="9">
        <v>1.431685273790537</v>
      </c>
      <c r="Y19" s="9">
        <v>1.9948148148148148</v>
      </c>
      <c r="Z19" s="9">
        <v>2.2725738396624471</v>
      </c>
      <c r="AA19" s="9">
        <v>2.5526066350710899</v>
      </c>
    </row>
    <row r="20" spans="1:27" x14ac:dyDescent="0.2">
      <c r="A20" s="3" t="s">
        <v>69</v>
      </c>
      <c r="B20" s="26">
        <v>2051</v>
      </c>
      <c r="C20" s="54">
        <v>59.05</v>
      </c>
      <c r="D20">
        <v>64.12</v>
      </c>
      <c r="E20" s="44">
        <v>52.5</v>
      </c>
      <c r="F20" s="55">
        <v>33.92</v>
      </c>
      <c r="G20" s="44">
        <v>21.35</v>
      </c>
      <c r="H20" s="67">
        <v>13.85</v>
      </c>
      <c r="J20" s="3" t="s">
        <v>69</v>
      </c>
      <c r="K20" s="26">
        <v>2051</v>
      </c>
      <c r="L20" s="24">
        <f t="shared" si="1"/>
        <v>1</v>
      </c>
      <c r="M20" s="24">
        <f t="shared" si="1"/>
        <v>0.92092950717404853</v>
      </c>
      <c r="N20" s="24">
        <f t="shared" si="1"/>
        <v>1.1247619047619046</v>
      </c>
      <c r="O20" s="24">
        <f t="shared" si="1"/>
        <v>1.7408608490566035</v>
      </c>
      <c r="P20" s="24">
        <f t="shared" si="1"/>
        <v>2.7658079625292737</v>
      </c>
      <c r="Q20" s="24">
        <f t="shared" si="1"/>
        <v>4.2635379061371843</v>
      </c>
      <c r="U20" s="7"/>
      <c r="V20" s="9"/>
      <c r="W20" s="9"/>
      <c r="X20" s="9"/>
      <c r="Y20" s="9"/>
      <c r="Z20" s="9"/>
      <c r="AA20" s="9"/>
    </row>
    <row r="21" spans="1:27" x14ac:dyDescent="0.2">
      <c r="A21" s="3" t="s">
        <v>34</v>
      </c>
      <c r="B21" s="26">
        <v>2052</v>
      </c>
      <c r="C21" s="54">
        <v>41.59</v>
      </c>
      <c r="D21" s="41">
        <v>48.01</v>
      </c>
      <c r="E21" s="44">
        <v>38.75</v>
      </c>
      <c r="F21" s="55">
        <v>24.32</v>
      </c>
      <c r="G21" s="44">
        <v>14.07</v>
      </c>
      <c r="H21" s="67">
        <v>9.01</v>
      </c>
      <c r="J21" s="3" t="s">
        <v>34</v>
      </c>
      <c r="K21" s="26">
        <v>2052</v>
      </c>
      <c r="L21" s="24">
        <f t="shared" si="1"/>
        <v>1</v>
      </c>
      <c r="M21" s="24">
        <f t="shared" si="1"/>
        <v>0.86627785877942109</v>
      </c>
      <c r="N21" s="24">
        <f t="shared" si="1"/>
        <v>1.0732903225806452</v>
      </c>
      <c r="O21" s="24">
        <f t="shared" si="1"/>
        <v>1.7101151315789476</v>
      </c>
      <c r="P21" s="24">
        <f t="shared" si="1"/>
        <v>2.9559346126510309</v>
      </c>
      <c r="Q21" s="24">
        <f t="shared" si="1"/>
        <v>4.615982241953386</v>
      </c>
      <c r="U21" s="5" t="s">
        <v>70</v>
      </c>
      <c r="V21">
        <v>1</v>
      </c>
      <c r="W21" s="9">
        <v>1.023126161470163</v>
      </c>
      <c r="X21" s="9">
        <v>1.4173340961098397</v>
      </c>
      <c r="Y21" s="9">
        <v>2.2339945897204689</v>
      </c>
      <c r="Z21" s="9">
        <v>3.8351393188854486</v>
      </c>
      <c r="AA21" s="9">
        <v>5.4630650496141122</v>
      </c>
    </row>
    <row r="22" spans="1:27" x14ac:dyDescent="0.2">
      <c r="A22" s="3" t="s">
        <v>32</v>
      </c>
      <c r="B22" s="26">
        <v>2053</v>
      </c>
      <c r="C22" s="54">
        <v>30.39</v>
      </c>
      <c r="D22">
        <v>37.69</v>
      </c>
      <c r="E22" s="44">
        <v>29.57</v>
      </c>
      <c r="F22" s="55">
        <v>25.24</v>
      </c>
      <c r="G22" s="44">
        <v>21.6</v>
      </c>
      <c r="H22" s="67">
        <v>18.32</v>
      </c>
      <c r="J22" s="3" t="s">
        <v>32</v>
      </c>
      <c r="K22" s="26">
        <v>2053</v>
      </c>
      <c r="L22" s="24">
        <f t="shared" si="1"/>
        <v>1</v>
      </c>
      <c r="M22" s="24">
        <f t="shared" si="1"/>
        <v>0.80631467232687726</v>
      </c>
      <c r="N22" s="24">
        <f t="shared" si="1"/>
        <v>1.0277308082516063</v>
      </c>
      <c r="O22" s="24">
        <f t="shared" si="1"/>
        <v>1.2040412044374011</v>
      </c>
      <c r="P22" s="24">
        <f t="shared" si="1"/>
        <v>1.4069444444444443</v>
      </c>
      <c r="Q22" s="24">
        <f t="shared" si="1"/>
        <v>1.6588427947598254</v>
      </c>
      <c r="U22" s="5" t="s">
        <v>2</v>
      </c>
      <c r="V22">
        <v>1</v>
      </c>
      <c r="W22" s="9">
        <v>1.0613048368953881</v>
      </c>
      <c r="X22" s="9">
        <v>1.3921062338620436</v>
      </c>
      <c r="Y22" s="9">
        <v>2.1727115716753023</v>
      </c>
      <c r="Z22" s="9">
        <v>3.126760563380282</v>
      </c>
      <c r="AA22" s="9">
        <v>4.0537056928034367</v>
      </c>
    </row>
    <row r="23" spans="1:27" x14ac:dyDescent="0.2">
      <c r="A23" s="3" t="s">
        <v>30</v>
      </c>
      <c r="B23" s="26">
        <v>2054</v>
      </c>
      <c r="C23" s="54">
        <v>41.47</v>
      </c>
      <c r="D23">
        <v>46.94</v>
      </c>
      <c r="E23" s="44">
        <v>35.22</v>
      </c>
      <c r="F23" s="55">
        <v>25.89</v>
      </c>
      <c r="G23" s="44">
        <v>20.75</v>
      </c>
      <c r="H23" s="67">
        <v>15.84</v>
      </c>
      <c r="J23" s="3" t="s">
        <v>30</v>
      </c>
      <c r="K23" s="26">
        <v>2054</v>
      </c>
      <c r="L23" s="24">
        <f t="shared" si="1"/>
        <v>1</v>
      </c>
      <c r="M23" s="24">
        <f t="shared" si="1"/>
        <v>0.88346825734980827</v>
      </c>
      <c r="N23" s="24">
        <f t="shared" si="1"/>
        <v>1.1774559909142532</v>
      </c>
      <c r="O23" s="24">
        <f t="shared" si="1"/>
        <v>1.6017767477790652</v>
      </c>
      <c r="P23" s="24">
        <f t="shared" si="1"/>
        <v>1.9985542168674699</v>
      </c>
      <c r="Q23" s="24">
        <f t="shared" si="1"/>
        <v>2.6180555555555554</v>
      </c>
      <c r="U23" s="5" t="s">
        <v>1</v>
      </c>
      <c r="V23">
        <v>1</v>
      </c>
      <c r="W23" s="9">
        <v>0.94850218781555029</v>
      </c>
      <c r="X23" s="9">
        <v>1.4107634543178973</v>
      </c>
      <c r="Y23" s="9">
        <v>1.5294436906377205</v>
      </c>
      <c r="Z23" s="9">
        <v>2.1569077688480673</v>
      </c>
      <c r="AA23" s="9">
        <v>2.7600391772771791</v>
      </c>
    </row>
    <row r="24" spans="1:27" x14ac:dyDescent="0.2">
      <c r="A24" s="5" t="s">
        <v>28</v>
      </c>
      <c r="B24">
        <v>2055</v>
      </c>
      <c r="C24" s="54">
        <v>52.04</v>
      </c>
      <c r="D24">
        <v>52.08</v>
      </c>
      <c r="E24" s="44">
        <v>27.22</v>
      </c>
      <c r="F24" s="55">
        <v>17.809999999999999</v>
      </c>
      <c r="G24" s="44">
        <v>13.97</v>
      </c>
      <c r="H24" s="67">
        <v>12.45</v>
      </c>
      <c r="J24" s="5" t="s">
        <v>28</v>
      </c>
      <c r="K24">
        <v>2055</v>
      </c>
      <c r="L24" s="24">
        <f t="shared" si="1"/>
        <v>1</v>
      </c>
      <c r="M24" s="24">
        <f t="shared" si="1"/>
        <v>0.99923195084485406</v>
      </c>
      <c r="N24" s="24">
        <f t="shared" si="1"/>
        <v>1.9118295371050698</v>
      </c>
      <c r="O24" s="24">
        <f t="shared" si="1"/>
        <v>2.9219539584503091</v>
      </c>
      <c r="P24" s="24">
        <f t="shared" si="1"/>
        <v>3.7251252684323548</v>
      </c>
      <c r="Q24" s="24">
        <f t="shared" si="1"/>
        <v>4.1799196787148594</v>
      </c>
      <c r="U24" s="5" t="s">
        <v>0</v>
      </c>
      <c r="V24">
        <v>1</v>
      </c>
      <c r="W24" s="9">
        <v>1.0455681599692368</v>
      </c>
      <c r="X24" s="9">
        <v>1.3728856349406717</v>
      </c>
      <c r="Y24" s="9">
        <v>1.660965180207697</v>
      </c>
      <c r="Z24" s="9">
        <v>2.0118386977432481</v>
      </c>
      <c r="AA24" s="9">
        <v>2.3551320918146383</v>
      </c>
    </row>
    <row r="25" spans="1:27" x14ac:dyDescent="0.2">
      <c r="A25" s="5" t="s">
        <v>26</v>
      </c>
      <c r="B25" s="7">
        <v>2056</v>
      </c>
      <c r="C25" s="54">
        <v>39.86</v>
      </c>
      <c r="D25">
        <v>39.17</v>
      </c>
      <c r="E25" s="44">
        <v>18.2</v>
      </c>
      <c r="F25" s="55">
        <v>10.99</v>
      </c>
      <c r="G25" s="44">
        <v>7.49</v>
      </c>
      <c r="H25" s="67">
        <v>5.57</v>
      </c>
      <c r="J25" s="5" t="s">
        <v>26</v>
      </c>
      <c r="K25" s="7">
        <v>2056</v>
      </c>
      <c r="L25" s="24">
        <f t="shared" si="1"/>
        <v>1</v>
      </c>
      <c r="M25" s="24">
        <f t="shared" si="1"/>
        <v>1.0176155220832268</v>
      </c>
      <c r="N25" s="24">
        <f t="shared" si="1"/>
        <v>2.1901098901098903</v>
      </c>
      <c r="O25" s="24">
        <f t="shared" si="1"/>
        <v>3.6269335759781618</v>
      </c>
      <c r="P25" s="24">
        <f t="shared" si="1"/>
        <v>5.3217623497997328</v>
      </c>
      <c r="Q25" s="24">
        <f t="shared" si="1"/>
        <v>7.1561938958707358</v>
      </c>
      <c r="U25" s="7"/>
      <c r="V25" s="38"/>
      <c r="W25" s="38"/>
      <c r="X25" s="38"/>
      <c r="Y25" s="38"/>
      <c r="Z25" s="38"/>
      <c r="AA25" s="38"/>
    </row>
    <row r="26" spans="1:27" x14ac:dyDescent="0.2">
      <c r="A26" s="5" t="s">
        <v>24</v>
      </c>
      <c r="B26" s="7">
        <v>2057</v>
      </c>
      <c r="C26" s="54">
        <v>27.27</v>
      </c>
      <c r="D26">
        <v>30.73</v>
      </c>
      <c r="E26" s="44">
        <v>16.71</v>
      </c>
      <c r="F26" s="55">
        <v>12.1</v>
      </c>
      <c r="G26" s="44">
        <v>9.07</v>
      </c>
      <c r="H26" s="67">
        <v>7.06</v>
      </c>
      <c r="J26" s="5" t="s">
        <v>24</v>
      </c>
      <c r="K26" s="7">
        <v>2057</v>
      </c>
      <c r="L26" s="24">
        <f t="shared" si="1"/>
        <v>1</v>
      </c>
      <c r="M26" s="24">
        <f t="shared" si="1"/>
        <v>0.88740644321509921</v>
      </c>
      <c r="N26" s="24">
        <f t="shared" si="1"/>
        <v>1.6319569120287252</v>
      </c>
      <c r="O26" s="24">
        <f t="shared" si="1"/>
        <v>2.2537190082644627</v>
      </c>
      <c r="P26" s="24">
        <f t="shared" si="1"/>
        <v>3.0066152149944871</v>
      </c>
      <c r="Q26" s="24">
        <f t="shared" si="1"/>
        <v>3.8626062322946177</v>
      </c>
    </row>
    <row r="27" spans="1:27" x14ac:dyDescent="0.2">
      <c r="A27" s="5" t="s">
        <v>22</v>
      </c>
      <c r="B27" s="7">
        <v>2058</v>
      </c>
      <c r="C27" s="54">
        <v>26.93</v>
      </c>
      <c r="D27">
        <v>29.77</v>
      </c>
      <c r="E27" s="44">
        <v>18.809999999999999</v>
      </c>
      <c r="F27" s="55">
        <v>13.5</v>
      </c>
      <c r="G27" s="44">
        <v>11.85</v>
      </c>
      <c r="H27" s="67">
        <v>10.55</v>
      </c>
      <c r="J27" s="5" t="s">
        <v>22</v>
      </c>
      <c r="K27" s="7">
        <v>2058</v>
      </c>
      <c r="L27" s="24">
        <f t="shared" si="1"/>
        <v>1</v>
      </c>
      <c r="M27" s="24">
        <f t="shared" si="1"/>
        <v>0.90460194827007057</v>
      </c>
      <c r="N27" s="24">
        <f t="shared" si="1"/>
        <v>1.431685273790537</v>
      </c>
      <c r="O27" s="24">
        <f t="shared" si="1"/>
        <v>1.9948148148148148</v>
      </c>
      <c r="P27" s="24">
        <f t="shared" si="1"/>
        <v>2.2725738396624471</v>
      </c>
      <c r="Q27" s="24">
        <f t="shared" si="1"/>
        <v>2.5526066350710899</v>
      </c>
    </row>
    <row r="28" spans="1:27" x14ac:dyDescent="0.2">
      <c r="A28" s="3" t="s">
        <v>20</v>
      </c>
      <c r="C28" s="54">
        <v>0.05</v>
      </c>
      <c r="D28">
        <v>0.01</v>
      </c>
      <c r="E28" s="44">
        <v>0.04</v>
      </c>
      <c r="F28" s="55">
        <v>0.02</v>
      </c>
      <c r="G28" s="44">
        <v>0.02</v>
      </c>
      <c r="H28" s="67">
        <v>0.04</v>
      </c>
      <c r="P28" s="24"/>
      <c r="Q28" s="24"/>
    </row>
    <row r="29" spans="1:27" x14ac:dyDescent="0.2">
      <c r="A29" s="3" t="s">
        <v>20</v>
      </c>
      <c r="C29" s="54">
        <v>0.03</v>
      </c>
      <c r="D29">
        <v>0.03</v>
      </c>
      <c r="E29" s="44">
        <v>0.08</v>
      </c>
      <c r="F29" s="55">
        <v>0.01</v>
      </c>
      <c r="G29" s="44">
        <v>0.01</v>
      </c>
      <c r="H29" s="67">
        <v>0</v>
      </c>
      <c r="P29" s="24"/>
      <c r="Q29" s="24"/>
      <c r="U29" s="7" t="s">
        <v>75</v>
      </c>
      <c r="V29" s="19" t="s">
        <v>19</v>
      </c>
      <c r="W29" s="19" t="s">
        <v>18</v>
      </c>
      <c r="X29" s="19" t="s">
        <v>17</v>
      </c>
      <c r="Y29" s="19" t="s">
        <v>16</v>
      </c>
      <c r="Z29" s="19" t="s">
        <v>15</v>
      </c>
      <c r="AA29" s="19" t="s">
        <v>14</v>
      </c>
    </row>
    <row r="30" spans="1:27" x14ac:dyDescent="0.2">
      <c r="A30" s="3" t="s">
        <v>20</v>
      </c>
      <c r="C30" s="54">
        <v>0.03</v>
      </c>
      <c r="D30">
        <v>0.01</v>
      </c>
      <c r="E30" s="44">
        <v>0.54</v>
      </c>
      <c r="F30" s="55">
        <v>0.15</v>
      </c>
      <c r="G30" s="44">
        <v>0.09</v>
      </c>
      <c r="H30" s="67">
        <v>0.02</v>
      </c>
      <c r="P30" s="24"/>
      <c r="Q30" s="24"/>
      <c r="U30" s="18" t="s">
        <v>13</v>
      </c>
      <c r="V30" s="16">
        <v>1</v>
      </c>
      <c r="W30" s="16">
        <v>0.91073077000542579</v>
      </c>
      <c r="X30" s="16">
        <v>1.4461025799428289</v>
      </c>
      <c r="Y30" s="16">
        <v>1.4461025799428289</v>
      </c>
      <c r="Z30" s="16">
        <v>2.9316647386726546</v>
      </c>
      <c r="AA30" s="16">
        <v>3.8634681175446568</v>
      </c>
    </row>
    <row r="31" spans="1:27" x14ac:dyDescent="0.2">
      <c r="A31" s="3" t="s">
        <v>20</v>
      </c>
      <c r="C31" s="59">
        <v>0.03</v>
      </c>
      <c r="D31" s="60">
        <v>0.02</v>
      </c>
      <c r="E31" s="61">
        <v>0</v>
      </c>
      <c r="F31" s="62">
        <v>0.14000000000000001</v>
      </c>
      <c r="G31" s="45">
        <v>0.11</v>
      </c>
      <c r="H31" s="70">
        <v>0.05</v>
      </c>
      <c r="P31" s="24"/>
      <c r="Q31" s="24"/>
      <c r="U31" s="13" t="s">
        <v>12</v>
      </c>
      <c r="V31" s="11">
        <v>1</v>
      </c>
      <c r="W31" s="11">
        <v>0.81769012483028269</v>
      </c>
      <c r="X31" s="11">
        <v>1.0391325874053656</v>
      </c>
      <c r="Y31" s="11">
        <v>1.0391325874053656</v>
      </c>
      <c r="Z31" s="11">
        <v>1.0277152208231697</v>
      </c>
      <c r="AA31" s="11">
        <v>1.0854477551635733</v>
      </c>
    </row>
    <row r="32" spans="1:27" x14ac:dyDescent="0.2">
      <c r="K32" s="7" t="s">
        <v>75</v>
      </c>
      <c r="L32" s="19" t="s">
        <v>19</v>
      </c>
      <c r="M32" s="19" t="s">
        <v>18</v>
      </c>
      <c r="N32" s="19" t="s">
        <v>17</v>
      </c>
      <c r="O32" s="19" t="s">
        <v>16</v>
      </c>
      <c r="P32" s="20" t="s">
        <v>15</v>
      </c>
      <c r="Q32" s="19" t="s">
        <v>14</v>
      </c>
      <c r="U32" s="7" t="s">
        <v>10</v>
      </c>
      <c r="V32" s="9">
        <v>1</v>
      </c>
      <c r="W32" s="9">
        <v>1.0196253365375845</v>
      </c>
      <c r="X32" s="9">
        <v>1.398272354807613</v>
      </c>
      <c r="Y32" s="9">
        <v>1.398272354807613</v>
      </c>
      <c r="Z32" s="9">
        <v>2.7826615872142613</v>
      </c>
      <c r="AA32" s="9">
        <v>3.6579855028773416</v>
      </c>
    </row>
    <row r="33" spans="3:17" x14ac:dyDescent="0.2">
      <c r="K33" s="18" t="s">
        <v>13</v>
      </c>
      <c r="L33" s="16">
        <f>AVERAGE(L20:L27)</f>
        <v>1</v>
      </c>
      <c r="M33" s="16">
        <f t="shared" ref="M33:N33" si="2">AVERAGE(M20:M27)</f>
        <v>0.91073077000542579</v>
      </c>
      <c r="N33" s="16">
        <f t="shared" si="2"/>
        <v>1.4461025799428289</v>
      </c>
      <c r="O33" s="16">
        <f>AVERAGE(O20:O27)</f>
        <v>2.1317769112949709</v>
      </c>
      <c r="P33" s="17">
        <f>AVERAGE(P20:P27)</f>
        <v>2.9316647386726546</v>
      </c>
      <c r="Q33" s="16">
        <f t="shared" ref="Q33" si="3">AVERAGE(Q20:Q27)</f>
        <v>3.8634681175446568</v>
      </c>
    </row>
    <row r="34" spans="3:17" x14ac:dyDescent="0.2">
      <c r="K34" s="13" t="s">
        <v>12</v>
      </c>
      <c r="L34" s="11">
        <f t="shared" ref="L34:Q34" si="4">AVERAGE(L12:L15)</f>
        <v>1</v>
      </c>
      <c r="M34" s="11">
        <f t="shared" si="4"/>
        <v>0.81769012483028269</v>
      </c>
      <c r="N34" s="11">
        <f t="shared" si="4"/>
        <v>1.0391325874053656</v>
      </c>
      <c r="O34" s="11">
        <f>AVERAGE(O12:O15)</f>
        <v>0.9812847717285309</v>
      </c>
      <c r="P34" s="12">
        <f t="shared" si="4"/>
        <v>1.0277152208231697</v>
      </c>
      <c r="Q34" s="11">
        <f t="shared" si="4"/>
        <v>1.0854477551635733</v>
      </c>
    </row>
    <row r="35" spans="3:17" x14ac:dyDescent="0.2">
      <c r="K35" s="7" t="s">
        <v>10</v>
      </c>
      <c r="L35" s="9">
        <f t="shared" ref="L35:Q35" si="5">AVERAGE(L16:L19)</f>
        <v>1</v>
      </c>
      <c r="M35" s="9">
        <f t="shared" si="5"/>
        <v>1.0196253365375845</v>
      </c>
      <c r="N35" s="9">
        <f t="shared" si="5"/>
        <v>1.398272354807613</v>
      </c>
      <c r="O35" s="9">
        <f>AVERAGE(O16:O19)</f>
        <v>1.899278758060297</v>
      </c>
      <c r="P35" s="10">
        <f t="shared" si="5"/>
        <v>2.7826615872142613</v>
      </c>
      <c r="Q35" s="9">
        <f t="shared" si="5"/>
        <v>3.6579855028773416</v>
      </c>
    </row>
    <row r="36" spans="3:17" x14ac:dyDescent="0.2">
      <c r="C36" s="22"/>
      <c r="E36" s="22"/>
      <c r="F36" s="22"/>
      <c r="G36" s="21"/>
      <c r="H36" s="21"/>
      <c r="P36" s="71"/>
    </row>
    <row r="37" spans="3:17" x14ac:dyDescent="0.2">
      <c r="K37" s="7" t="s">
        <v>10</v>
      </c>
      <c r="O37" s="1">
        <f>(O35-O$34)/(O$33-O$34)</f>
        <v>0.79791417495273786</v>
      </c>
      <c r="P37" s="8">
        <f>(P35-P$34)/(P$33-P$34)</f>
        <v>0.92173996733553487</v>
      </c>
      <c r="Q37" s="40">
        <f>(Q35-Q$34)/(Q$33-Q$34)</f>
        <v>0.92603271831629308</v>
      </c>
    </row>
    <row r="38" spans="3:17" x14ac:dyDescent="0.2">
      <c r="K38" s="7" t="s">
        <v>9</v>
      </c>
      <c r="N38" s="1"/>
      <c r="O38" s="1">
        <f>(O34-O$34)/O$33</f>
        <v>0</v>
      </c>
      <c r="P38" s="6">
        <f>(P34-P$34)/P$33</f>
        <v>0</v>
      </c>
      <c r="Q38" s="40">
        <f>(Q34-Q$34)/Q$33</f>
        <v>0</v>
      </c>
    </row>
    <row r="40" spans="3:17" x14ac:dyDescent="0.2">
      <c r="K40" s="2" t="s">
        <v>3</v>
      </c>
      <c r="O40" s="1">
        <f t="shared" ref="O40:Q43" si="6">(O16-O$34)/(O$33-O$34)</f>
        <v>1.0888469159502632</v>
      </c>
      <c r="P40" s="1">
        <f t="shared" si="6"/>
        <v>1.4745265416665407</v>
      </c>
      <c r="Q40" s="1">
        <f t="shared" si="6"/>
        <v>1.5758046102651375</v>
      </c>
    </row>
    <row r="41" spans="3:17" x14ac:dyDescent="0.2">
      <c r="H41" s="7"/>
      <c r="K41" s="2" t="s">
        <v>2</v>
      </c>
      <c r="O41" s="1">
        <f t="shared" si="6"/>
        <v>1.0355801304264083</v>
      </c>
      <c r="P41" s="1">
        <f t="shared" si="6"/>
        <v>1.1024690113254623</v>
      </c>
      <c r="Q41" s="1">
        <f t="shared" si="6"/>
        <v>1.0684795467430355</v>
      </c>
    </row>
    <row r="42" spans="3:17" x14ac:dyDescent="0.2">
      <c r="K42" s="2" t="s">
        <v>1</v>
      </c>
      <c r="O42" s="1">
        <f t="shared" si="6"/>
        <v>0.47645603134304054</v>
      </c>
      <c r="P42" s="1">
        <f t="shared" si="6"/>
        <v>0.59307903777844018</v>
      </c>
      <c r="Q42" s="1">
        <f t="shared" si="6"/>
        <v>0.60280026913779994</v>
      </c>
    </row>
    <row r="43" spans="3:17" x14ac:dyDescent="0.2">
      <c r="K43" s="2" t="s">
        <v>0</v>
      </c>
      <c r="O43" s="1">
        <f t="shared" si="6"/>
        <v>0.59077362209123996</v>
      </c>
      <c r="P43" s="1">
        <f t="shared" si="6"/>
        <v>0.51688527857169653</v>
      </c>
      <c r="Q43" s="1">
        <f t="shared" si="6"/>
        <v>0.45704644711919939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2F655-69F1-7F4F-AB54-0E7395C7044C}">
  <dimension ref="A1:AA43"/>
  <sheetViews>
    <sheetView topLeftCell="A10" workbookViewId="0">
      <selection activeCell="P40" sqref="P40:P43"/>
    </sheetView>
  </sheetViews>
  <sheetFormatPr baseColWidth="10" defaultRowHeight="16" x14ac:dyDescent="0.2"/>
  <cols>
    <col min="1" max="1" width="12.1640625" customWidth="1"/>
    <col min="2" max="2" width="6.5" customWidth="1"/>
    <col min="3" max="8" width="8.5" customWidth="1"/>
    <col min="9" max="9" width="11.33203125" customWidth="1"/>
    <col min="11" max="11" width="6.5" customWidth="1"/>
    <col min="12" max="17" width="8" customWidth="1"/>
    <col min="21" max="22" width="7.33203125" customWidth="1"/>
    <col min="23" max="27" width="7.5" customWidth="1"/>
  </cols>
  <sheetData>
    <row r="1" spans="1:27" x14ac:dyDescent="0.2">
      <c r="A1" s="36" t="s">
        <v>78</v>
      </c>
    </row>
    <row r="2" spans="1:27" x14ac:dyDescent="0.2">
      <c r="A2" s="37" t="s">
        <v>61</v>
      </c>
      <c r="E2" t="s">
        <v>72</v>
      </c>
    </row>
    <row r="3" spans="1:27" x14ac:dyDescent="0.2">
      <c r="A3" s="36"/>
      <c r="B3" t="s">
        <v>48</v>
      </c>
      <c r="E3" t="s">
        <v>79</v>
      </c>
    </row>
    <row r="4" spans="1:27" x14ac:dyDescent="0.2">
      <c r="A4" t="s">
        <v>55</v>
      </c>
      <c r="F4" t="s">
        <v>80</v>
      </c>
      <c r="U4" s="42" t="s">
        <v>81</v>
      </c>
    </row>
    <row r="5" spans="1:27" x14ac:dyDescent="0.2">
      <c r="U5" s="7"/>
      <c r="X5" s="9"/>
      <c r="Z5" s="9"/>
      <c r="AA5" s="9"/>
    </row>
    <row r="6" spans="1:27" x14ac:dyDescent="0.2">
      <c r="A6" t="s">
        <v>47</v>
      </c>
      <c r="C6" t="s">
        <v>65</v>
      </c>
      <c r="V6" s="35" t="s">
        <v>19</v>
      </c>
      <c r="W6" s="35" t="s">
        <v>18</v>
      </c>
      <c r="X6" s="35" t="s">
        <v>17</v>
      </c>
      <c r="Y6" s="35" t="s">
        <v>16</v>
      </c>
      <c r="Z6" s="35" t="s">
        <v>15</v>
      </c>
      <c r="AA6" s="35" t="s">
        <v>14</v>
      </c>
    </row>
    <row r="7" spans="1:27" x14ac:dyDescent="0.2">
      <c r="A7" t="s">
        <v>66</v>
      </c>
      <c r="U7" s="3" t="s">
        <v>44</v>
      </c>
      <c r="V7">
        <v>1</v>
      </c>
      <c r="W7" s="9">
        <v>0.89905902480752775</v>
      </c>
      <c r="X7" s="9">
        <v>1.0393591772151898</v>
      </c>
      <c r="Y7" s="9">
        <v>1.1824932493249325</v>
      </c>
      <c r="Z7" s="9">
        <v>1.2687107677450506</v>
      </c>
      <c r="AA7" s="9">
        <v>1.3177031093279838</v>
      </c>
    </row>
    <row r="8" spans="1:27" x14ac:dyDescent="0.2">
      <c r="A8" t="s">
        <v>57</v>
      </c>
      <c r="U8" s="3" t="s">
        <v>42</v>
      </c>
      <c r="V8">
        <v>1</v>
      </c>
      <c r="W8" s="9">
        <v>0.90882967607105536</v>
      </c>
      <c r="X8" s="9">
        <v>1.0485232067510548</v>
      </c>
      <c r="Y8" s="9">
        <v>1.1773265651438241</v>
      </c>
      <c r="Z8" s="9">
        <v>1.2532420749279538</v>
      </c>
      <c r="AA8" s="9">
        <v>1.2389601139601141</v>
      </c>
    </row>
    <row r="9" spans="1:27" x14ac:dyDescent="0.2">
      <c r="B9" t="s">
        <v>67</v>
      </c>
      <c r="K9" t="s">
        <v>82</v>
      </c>
      <c r="U9" s="3" t="s">
        <v>41</v>
      </c>
      <c r="V9">
        <v>1</v>
      </c>
      <c r="W9" s="9">
        <v>0.85986975072984506</v>
      </c>
      <c r="X9" s="9">
        <v>1.0385136967724438</v>
      </c>
      <c r="Y9" s="9">
        <v>1.2105595953208979</v>
      </c>
      <c r="Z9" s="9">
        <v>1.3099555251453985</v>
      </c>
      <c r="AA9" s="9">
        <v>1.3295138888888889</v>
      </c>
    </row>
    <row r="10" spans="1:27" x14ac:dyDescent="0.2">
      <c r="A10" s="34" t="s">
        <v>83</v>
      </c>
      <c r="B10" s="34"/>
      <c r="C10" s="15">
        <v>45945</v>
      </c>
      <c r="D10" s="15">
        <f>C10+3</f>
        <v>45948</v>
      </c>
      <c r="E10" s="15">
        <f>C10+6</f>
        <v>45951</v>
      </c>
      <c r="F10" s="15">
        <f>C10+9</f>
        <v>45954</v>
      </c>
      <c r="G10" s="15">
        <f>C10+12</f>
        <v>45957</v>
      </c>
      <c r="H10" s="14">
        <f>C10+15</f>
        <v>45960</v>
      </c>
      <c r="K10" s="47"/>
      <c r="L10" s="15">
        <v>45945</v>
      </c>
      <c r="M10" s="15">
        <f>L10+3</f>
        <v>45948</v>
      </c>
      <c r="N10" s="15">
        <f>L10+6</f>
        <v>45951</v>
      </c>
      <c r="O10" s="15">
        <f>L10+9</f>
        <v>45954</v>
      </c>
      <c r="P10" s="15">
        <f>L10+12</f>
        <v>45957</v>
      </c>
      <c r="Q10" s="14">
        <f>L10+15</f>
        <v>45960</v>
      </c>
      <c r="U10" s="3" t="s">
        <v>68</v>
      </c>
      <c r="V10">
        <v>1</v>
      </c>
      <c r="W10" s="9">
        <v>0.89761805265357297</v>
      </c>
      <c r="X10" s="9">
        <v>0.97216564833672781</v>
      </c>
      <c r="Y10" s="9">
        <v>1.1072164948453609</v>
      </c>
      <c r="Z10" s="9">
        <v>1.1906873614190687</v>
      </c>
      <c r="AA10" s="9">
        <v>1.128447596532703</v>
      </c>
    </row>
    <row r="11" spans="1:27" x14ac:dyDescent="0.2">
      <c r="A11" s="48" t="s">
        <v>46</v>
      </c>
      <c r="B11" s="49" t="s">
        <v>45</v>
      </c>
      <c r="C11" s="32" t="s">
        <v>19</v>
      </c>
      <c r="D11" s="32" t="s">
        <v>18</v>
      </c>
      <c r="E11" s="33" t="s">
        <v>17</v>
      </c>
      <c r="F11" s="32" t="s">
        <v>16</v>
      </c>
      <c r="G11" s="32" t="s">
        <v>15</v>
      </c>
      <c r="H11" s="31" t="s">
        <v>14</v>
      </c>
      <c r="K11" s="48" t="s">
        <v>45</v>
      </c>
      <c r="L11" s="32" t="s">
        <v>19</v>
      </c>
      <c r="M11" s="32" t="s">
        <v>18</v>
      </c>
      <c r="N11" s="33" t="s">
        <v>17</v>
      </c>
      <c r="O11" s="32" t="s">
        <v>16</v>
      </c>
      <c r="P11" s="32" t="s">
        <v>15</v>
      </c>
      <c r="Q11" s="31" t="s">
        <v>14</v>
      </c>
      <c r="V11" s="9"/>
      <c r="W11" s="9"/>
      <c r="X11" s="9"/>
      <c r="Y11" s="9"/>
      <c r="Z11" s="9"/>
      <c r="AA11" s="9"/>
    </row>
    <row r="12" spans="1:27" x14ac:dyDescent="0.2">
      <c r="A12" s="3" t="s">
        <v>44</v>
      </c>
      <c r="B12" s="64">
        <v>2035</v>
      </c>
      <c r="C12" s="50">
        <v>52.55</v>
      </c>
      <c r="D12" s="51">
        <v>58.45</v>
      </c>
      <c r="E12" s="43">
        <v>50.56</v>
      </c>
      <c r="F12" s="52">
        <v>44.44</v>
      </c>
      <c r="G12" s="43">
        <v>41.42</v>
      </c>
      <c r="H12" s="53">
        <v>39.880000000000003</v>
      </c>
      <c r="J12" s="3" t="s">
        <v>44</v>
      </c>
      <c r="K12" s="64">
        <v>2035</v>
      </c>
      <c r="L12" s="24">
        <f>($C12-$C$37)/(C12-C$37)</f>
        <v>1</v>
      </c>
      <c r="M12" s="24">
        <f t="shared" ref="M12:Q19" si="0">($C12-$C$37)/(D12-D$37)</f>
        <v>0.89905902480752775</v>
      </c>
      <c r="N12" s="24">
        <f t="shared" si="0"/>
        <v>1.0393591772151898</v>
      </c>
      <c r="O12" s="24">
        <f t="shared" si="0"/>
        <v>1.1824932493249325</v>
      </c>
      <c r="P12" s="24">
        <f t="shared" si="0"/>
        <v>1.2687107677450506</v>
      </c>
      <c r="Q12" s="24">
        <f t="shared" si="0"/>
        <v>1.3177031093279838</v>
      </c>
      <c r="U12" s="3" t="s">
        <v>69</v>
      </c>
      <c r="V12">
        <v>1</v>
      </c>
      <c r="W12" s="9">
        <v>0.85883125410374273</v>
      </c>
      <c r="X12" s="9">
        <v>1.2744397531666127</v>
      </c>
      <c r="Y12" s="9">
        <v>2.3440860215053765</v>
      </c>
      <c r="Z12" s="9">
        <v>4.2103004291845494</v>
      </c>
      <c r="AA12" s="9">
        <v>5.8133333333333335</v>
      </c>
    </row>
    <row r="13" spans="1:27" x14ac:dyDescent="0.2">
      <c r="A13" s="3" t="s">
        <v>42</v>
      </c>
      <c r="B13" s="26">
        <v>277</v>
      </c>
      <c r="C13" s="54">
        <v>34.79</v>
      </c>
      <c r="D13">
        <v>38.28</v>
      </c>
      <c r="E13" s="44">
        <v>33.18</v>
      </c>
      <c r="F13" s="55">
        <v>29.55</v>
      </c>
      <c r="G13" s="44">
        <v>27.76</v>
      </c>
      <c r="H13" s="56">
        <v>28.08</v>
      </c>
      <c r="J13" s="3" t="s">
        <v>42</v>
      </c>
      <c r="K13" s="26">
        <v>277</v>
      </c>
      <c r="L13" s="24">
        <f t="shared" ref="L13:Q27" si="1">($C13-$C$37)/(C13-C$37)</f>
        <v>1</v>
      </c>
      <c r="M13" s="24">
        <f t="shared" si="0"/>
        <v>0.90882967607105536</v>
      </c>
      <c r="N13" s="24">
        <f t="shared" si="0"/>
        <v>1.0485232067510548</v>
      </c>
      <c r="O13" s="24">
        <f t="shared" si="0"/>
        <v>1.1773265651438241</v>
      </c>
      <c r="P13" s="24">
        <f t="shared" si="0"/>
        <v>1.2532420749279538</v>
      </c>
      <c r="Q13" s="24">
        <f t="shared" si="0"/>
        <v>1.2389601139601141</v>
      </c>
      <c r="U13" s="3" t="s">
        <v>34</v>
      </c>
      <c r="V13">
        <v>1</v>
      </c>
      <c r="W13" s="9">
        <v>0.83398926654740602</v>
      </c>
      <c r="X13" s="9">
        <v>1.2431999999999999</v>
      </c>
      <c r="Y13" s="9">
        <v>2.5986622073578594</v>
      </c>
      <c r="Z13" s="9">
        <v>5.4462616822429899</v>
      </c>
      <c r="AA13" s="9">
        <v>7.6677631578947363</v>
      </c>
    </row>
    <row r="14" spans="1:27" x14ac:dyDescent="0.2">
      <c r="A14" s="3" t="s">
        <v>41</v>
      </c>
      <c r="B14" s="26">
        <v>2037</v>
      </c>
      <c r="C14" s="54">
        <v>38.29</v>
      </c>
      <c r="D14">
        <v>44.53</v>
      </c>
      <c r="E14" s="44">
        <v>36.869999999999997</v>
      </c>
      <c r="F14" s="55">
        <v>31.63</v>
      </c>
      <c r="G14" s="44">
        <v>29.23</v>
      </c>
      <c r="H14" s="56">
        <v>28.8</v>
      </c>
      <c r="J14" s="3" t="s">
        <v>41</v>
      </c>
      <c r="K14" s="26">
        <v>2037</v>
      </c>
      <c r="L14" s="24">
        <f t="shared" si="1"/>
        <v>1</v>
      </c>
      <c r="M14" s="24">
        <f t="shared" si="0"/>
        <v>0.85986975072984506</v>
      </c>
      <c r="N14" s="24">
        <f t="shared" si="0"/>
        <v>1.0385136967724438</v>
      </c>
      <c r="O14" s="24">
        <f t="shared" si="0"/>
        <v>1.2105595953208979</v>
      </c>
      <c r="P14" s="24">
        <f t="shared" si="0"/>
        <v>1.3099555251453985</v>
      </c>
      <c r="Q14" s="24">
        <f t="shared" si="0"/>
        <v>1.3295138888888889</v>
      </c>
      <c r="U14" s="3" t="s">
        <v>32</v>
      </c>
      <c r="V14">
        <v>1</v>
      </c>
      <c r="W14" s="9">
        <v>0.76235584843492588</v>
      </c>
      <c r="X14" s="9">
        <v>0.87146892655367247</v>
      </c>
      <c r="Y14" s="9">
        <v>1.0881834215167547</v>
      </c>
      <c r="Z14" s="9">
        <v>1.2791983413959918</v>
      </c>
      <c r="AA14" s="9">
        <v>1.4054669703872438</v>
      </c>
    </row>
    <row r="15" spans="1:27" x14ac:dyDescent="0.2">
      <c r="A15" s="3" t="s">
        <v>68</v>
      </c>
      <c r="B15" s="26">
        <v>2038</v>
      </c>
      <c r="C15" s="54">
        <v>42.96</v>
      </c>
      <c r="D15">
        <v>47.86</v>
      </c>
      <c r="E15" s="44">
        <v>44.19</v>
      </c>
      <c r="F15" s="55">
        <v>38.799999999999997</v>
      </c>
      <c r="G15" s="44">
        <v>36.08</v>
      </c>
      <c r="H15" s="56">
        <v>38.07</v>
      </c>
      <c r="J15" s="3" t="s">
        <v>68</v>
      </c>
      <c r="K15" s="26">
        <v>2038</v>
      </c>
      <c r="L15" s="24">
        <f t="shared" si="1"/>
        <v>1</v>
      </c>
      <c r="M15" s="24">
        <f t="shared" si="0"/>
        <v>0.89761805265357297</v>
      </c>
      <c r="N15" s="24">
        <f t="shared" si="0"/>
        <v>0.97216564833672781</v>
      </c>
      <c r="O15" s="24">
        <f t="shared" si="0"/>
        <v>1.1072164948453609</v>
      </c>
      <c r="P15" s="24">
        <f t="shared" si="0"/>
        <v>1.1906873614190687</v>
      </c>
      <c r="Q15" s="24">
        <f t="shared" si="0"/>
        <v>1.128447596532703</v>
      </c>
      <c r="U15" s="3" t="s">
        <v>30</v>
      </c>
      <c r="V15">
        <v>1</v>
      </c>
      <c r="W15" s="9">
        <v>0.83129123468426025</v>
      </c>
      <c r="X15" s="9">
        <v>1.0870994248151191</v>
      </c>
      <c r="Y15" s="9">
        <v>1.6114494518879414</v>
      </c>
      <c r="Z15" s="9">
        <v>2.4164383561643836</v>
      </c>
      <c r="AA15" s="9">
        <v>3.0102389078498297</v>
      </c>
    </row>
    <row r="16" spans="1:27" x14ac:dyDescent="0.2">
      <c r="A16" s="5" t="s">
        <v>70</v>
      </c>
      <c r="B16" s="68"/>
      <c r="C16" s="54">
        <v>24.22</v>
      </c>
      <c r="D16">
        <v>25.21</v>
      </c>
      <c r="E16" s="44">
        <v>14.44</v>
      </c>
      <c r="F16" s="55">
        <v>8.5</v>
      </c>
      <c r="G16" s="44">
        <v>5.29</v>
      </c>
      <c r="H16" s="56">
        <v>4.22</v>
      </c>
      <c r="J16" s="5" t="s">
        <v>70</v>
      </c>
      <c r="K16" s="68"/>
      <c r="L16" s="24">
        <f t="shared" si="1"/>
        <v>1</v>
      </c>
      <c r="M16" s="24">
        <f t="shared" si="0"/>
        <v>0.96072986909956359</v>
      </c>
      <c r="N16" s="24">
        <f t="shared" si="0"/>
        <v>1.6772853185595569</v>
      </c>
      <c r="O16" s="24">
        <f t="shared" si="0"/>
        <v>2.8494117647058821</v>
      </c>
      <c r="P16" s="24">
        <f t="shared" si="0"/>
        <v>4.5784499054820413</v>
      </c>
      <c r="Q16" s="24">
        <f t="shared" si="0"/>
        <v>5.7393364928909953</v>
      </c>
      <c r="U16" s="5" t="s">
        <v>28</v>
      </c>
      <c r="V16">
        <v>1</v>
      </c>
      <c r="W16" s="9">
        <v>1.3464668094218415</v>
      </c>
      <c r="X16" s="9">
        <v>2.5436893203883497</v>
      </c>
      <c r="Y16" s="9">
        <v>3.9596977329974812</v>
      </c>
      <c r="Z16" s="9">
        <v>4.3849372384937242</v>
      </c>
      <c r="AA16" s="9">
        <v>5.2225913621262468</v>
      </c>
    </row>
    <row r="17" spans="1:27" x14ac:dyDescent="0.2">
      <c r="A17" s="5" t="s">
        <v>2</v>
      </c>
      <c r="B17" s="68"/>
      <c r="C17" s="54">
        <v>19.920000000000002</v>
      </c>
      <c r="D17">
        <v>20.75</v>
      </c>
      <c r="E17" s="44">
        <v>13.18</v>
      </c>
      <c r="F17" s="55">
        <v>9.11</v>
      </c>
      <c r="G17" s="44">
        <v>6.53</v>
      </c>
      <c r="H17" s="56">
        <v>5.26</v>
      </c>
      <c r="J17" s="5" t="s">
        <v>2</v>
      </c>
      <c r="K17" s="68"/>
      <c r="L17" s="24">
        <f t="shared" si="1"/>
        <v>1</v>
      </c>
      <c r="M17" s="24">
        <f t="shared" si="0"/>
        <v>0.96000000000000008</v>
      </c>
      <c r="N17" s="24">
        <f t="shared" si="0"/>
        <v>1.5113808801213962</v>
      </c>
      <c r="O17" s="24">
        <f t="shared" si="0"/>
        <v>2.1866081229418226</v>
      </c>
      <c r="P17" s="24">
        <f t="shared" si="0"/>
        <v>3.0505359877488516</v>
      </c>
      <c r="Q17" s="24">
        <f t="shared" si="0"/>
        <v>3.787072243346008</v>
      </c>
      <c r="U17" s="5" t="s">
        <v>26</v>
      </c>
      <c r="V17">
        <v>1</v>
      </c>
      <c r="W17" s="9">
        <v>1.3649592549476135</v>
      </c>
      <c r="X17" s="9">
        <v>3.782258064516129</v>
      </c>
      <c r="Y17" s="9">
        <v>8.5272727272727273</v>
      </c>
      <c r="Z17" s="9">
        <v>12.814207650273223</v>
      </c>
      <c r="AA17" s="9">
        <v>17.765151515151512</v>
      </c>
    </row>
    <row r="18" spans="1:27" x14ac:dyDescent="0.2">
      <c r="A18" s="5" t="s">
        <v>1</v>
      </c>
      <c r="B18" s="68"/>
      <c r="C18" s="54">
        <v>33.82</v>
      </c>
      <c r="D18">
        <v>36.76</v>
      </c>
      <c r="E18" s="44">
        <v>25.9</v>
      </c>
      <c r="F18" s="55">
        <v>16.54</v>
      </c>
      <c r="G18" s="44">
        <v>10.53</v>
      </c>
      <c r="H18" s="56">
        <v>7.82</v>
      </c>
      <c r="J18" s="5" t="s">
        <v>1</v>
      </c>
      <c r="K18" s="68"/>
      <c r="L18" s="24">
        <f t="shared" si="1"/>
        <v>1</v>
      </c>
      <c r="M18" s="24">
        <f t="shared" si="0"/>
        <v>0.92002176278563663</v>
      </c>
      <c r="N18" s="24">
        <f t="shared" si="0"/>
        <v>1.3057915057915059</v>
      </c>
      <c r="O18" s="24">
        <f t="shared" si="0"/>
        <v>2.0447400241837972</v>
      </c>
      <c r="P18" s="24">
        <f t="shared" si="0"/>
        <v>3.2117758784425452</v>
      </c>
      <c r="Q18" s="24">
        <f t="shared" si="0"/>
        <v>4.3248081841432224</v>
      </c>
      <c r="U18" s="5" t="s">
        <v>24</v>
      </c>
      <c r="V18">
        <v>1</v>
      </c>
      <c r="W18" s="9">
        <v>1.1256133464180571</v>
      </c>
      <c r="X18" s="9">
        <v>2.5602678571428572</v>
      </c>
      <c r="Y18" s="9">
        <v>5.3473193473193472</v>
      </c>
      <c r="Z18" s="9">
        <v>8.2517985611510802</v>
      </c>
      <c r="AA18" s="9">
        <v>12.4</v>
      </c>
    </row>
    <row r="19" spans="1:27" x14ac:dyDescent="0.2">
      <c r="A19" s="5" t="s">
        <v>0</v>
      </c>
      <c r="B19" s="68"/>
      <c r="C19" s="54">
        <v>42.61</v>
      </c>
      <c r="D19">
        <v>45.72</v>
      </c>
      <c r="E19" s="44">
        <v>37.909999999999997</v>
      </c>
      <c r="F19" s="55">
        <v>27.42</v>
      </c>
      <c r="G19" s="44">
        <v>21.47</v>
      </c>
      <c r="H19" s="56">
        <v>18.55</v>
      </c>
      <c r="J19" s="5" t="s">
        <v>0</v>
      </c>
      <c r="K19" s="68"/>
      <c r="L19" s="24">
        <f t="shared" si="1"/>
        <v>1</v>
      </c>
      <c r="M19" s="24">
        <f t="shared" si="0"/>
        <v>0.93197725284339461</v>
      </c>
      <c r="N19" s="24">
        <f t="shared" si="0"/>
        <v>1.1239778422579796</v>
      </c>
      <c r="O19" s="24">
        <f t="shared" si="0"/>
        <v>1.5539752005835155</v>
      </c>
      <c r="P19" s="24">
        <f t="shared" si="0"/>
        <v>1.9846297158826269</v>
      </c>
      <c r="Q19" s="24">
        <f t="shared" si="0"/>
        <v>2.2970350404312669</v>
      </c>
      <c r="U19" s="5" t="s">
        <v>22</v>
      </c>
      <c r="V19">
        <v>1</v>
      </c>
      <c r="W19" s="9">
        <v>1.152276295133438</v>
      </c>
      <c r="X19" s="9">
        <v>2.0054644808743167</v>
      </c>
      <c r="Y19" s="9">
        <v>2.8015267175572518</v>
      </c>
      <c r="Z19" s="9">
        <v>3.2767857142857144</v>
      </c>
      <c r="AA19" s="9">
        <v>4.0627306273062729</v>
      </c>
    </row>
    <row r="20" spans="1:27" x14ac:dyDescent="0.2">
      <c r="A20" s="3" t="s">
        <v>69</v>
      </c>
      <c r="B20" s="26">
        <v>2051</v>
      </c>
      <c r="C20" s="54">
        <v>39.24</v>
      </c>
      <c r="D20">
        <v>45.69</v>
      </c>
      <c r="E20" s="44">
        <v>30.79</v>
      </c>
      <c r="F20" s="55">
        <v>16.739999999999998</v>
      </c>
      <c r="G20" s="44">
        <v>9.32</v>
      </c>
      <c r="H20" s="56">
        <v>6.75</v>
      </c>
      <c r="J20" s="3" t="s">
        <v>69</v>
      </c>
      <c r="K20" s="26">
        <v>2051</v>
      </c>
      <c r="L20" s="24">
        <f t="shared" si="1"/>
        <v>1</v>
      </c>
      <c r="M20" s="24">
        <f t="shared" si="1"/>
        <v>0.85883125410374273</v>
      </c>
      <c r="N20" s="24">
        <f t="shared" si="1"/>
        <v>1.2744397531666127</v>
      </c>
      <c r="O20" s="24">
        <f t="shared" si="1"/>
        <v>2.3440860215053765</v>
      </c>
      <c r="P20" s="24">
        <f t="shared" si="1"/>
        <v>4.2103004291845494</v>
      </c>
      <c r="Q20" s="24">
        <f t="shared" si="1"/>
        <v>5.8133333333333335</v>
      </c>
      <c r="U20" s="7"/>
      <c r="V20" s="9"/>
      <c r="W20" s="9"/>
      <c r="X20" s="9"/>
      <c r="Y20" s="9"/>
      <c r="Z20" s="9"/>
      <c r="AA20" s="9"/>
    </row>
    <row r="21" spans="1:27" x14ac:dyDescent="0.2">
      <c r="A21" s="3" t="s">
        <v>34</v>
      </c>
      <c r="B21" s="26">
        <v>2052</v>
      </c>
      <c r="C21" s="54">
        <v>23.31</v>
      </c>
      <c r="D21" s="41">
        <v>27.95</v>
      </c>
      <c r="E21" s="44">
        <v>18.75</v>
      </c>
      <c r="F21" s="55">
        <v>8.9700000000000006</v>
      </c>
      <c r="G21" s="44">
        <v>4.28</v>
      </c>
      <c r="H21" s="56">
        <v>3.04</v>
      </c>
      <c r="J21" s="3" t="s">
        <v>34</v>
      </c>
      <c r="K21" s="26">
        <v>2052</v>
      </c>
      <c r="L21" s="24">
        <f t="shared" si="1"/>
        <v>1</v>
      </c>
      <c r="M21" s="24">
        <f t="shared" si="1"/>
        <v>0.83398926654740602</v>
      </c>
      <c r="N21" s="24">
        <f t="shared" si="1"/>
        <v>1.2431999999999999</v>
      </c>
      <c r="O21" s="24">
        <f t="shared" si="1"/>
        <v>2.5986622073578594</v>
      </c>
      <c r="P21" s="24">
        <f t="shared" si="1"/>
        <v>5.4462616822429899</v>
      </c>
      <c r="Q21" s="24">
        <f t="shared" si="1"/>
        <v>7.6677631578947363</v>
      </c>
      <c r="U21" s="5" t="s">
        <v>70</v>
      </c>
      <c r="V21">
        <v>1</v>
      </c>
      <c r="W21" s="9">
        <v>0.96072986909956359</v>
      </c>
      <c r="X21" s="9">
        <v>1.6772853185595569</v>
      </c>
      <c r="Y21" s="9">
        <v>2.8494117647058821</v>
      </c>
      <c r="Z21" s="9">
        <v>4.5784499054820413</v>
      </c>
      <c r="AA21" s="9">
        <v>5.7393364928909953</v>
      </c>
    </row>
    <row r="22" spans="1:27" x14ac:dyDescent="0.2">
      <c r="A22" s="3" t="s">
        <v>32</v>
      </c>
      <c r="B22" s="26">
        <v>2053</v>
      </c>
      <c r="C22" s="54">
        <v>18.510000000000002</v>
      </c>
      <c r="D22">
        <v>24.28</v>
      </c>
      <c r="E22" s="44">
        <v>21.24</v>
      </c>
      <c r="F22" s="55">
        <v>17.010000000000002</v>
      </c>
      <c r="G22" s="44">
        <v>14.47</v>
      </c>
      <c r="H22" s="56">
        <v>13.17</v>
      </c>
      <c r="J22" s="3" t="s">
        <v>32</v>
      </c>
      <c r="K22" s="26">
        <v>2053</v>
      </c>
      <c r="L22" s="24">
        <f t="shared" si="1"/>
        <v>1</v>
      </c>
      <c r="M22" s="24">
        <f t="shared" si="1"/>
        <v>0.76235584843492588</v>
      </c>
      <c r="N22" s="24">
        <f t="shared" si="1"/>
        <v>0.87146892655367247</v>
      </c>
      <c r="O22" s="24">
        <f t="shared" si="1"/>
        <v>1.0881834215167547</v>
      </c>
      <c r="P22" s="24">
        <f t="shared" si="1"/>
        <v>1.2791983413959918</v>
      </c>
      <c r="Q22" s="24">
        <f t="shared" si="1"/>
        <v>1.4054669703872438</v>
      </c>
      <c r="U22" s="5" t="s">
        <v>2</v>
      </c>
      <c r="V22">
        <v>1</v>
      </c>
      <c r="W22" s="9">
        <v>0.96000000000000008</v>
      </c>
      <c r="X22" s="9">
        <v>1.5113808801213962</v>
      </c>
      <c r="Y22" s="9">
        <v>2.1866081229418226</v>
      </c>
      <c r="Z22" s="9">
        <v>3.0505359877488516</v>
      </c>
      <c r="AA22" s="9">
        <v>3.787072243346008</v>
      </c>
    </row>
    <row r="23" spans="1:27" x14ac:dyDescent="0.2">
      <c r="A23" s="3" t="s">
        <v>30</v>
      </c>
      <c r="B23" s="26">
        <v>2054</v>
      </c>
      <c r="C23" s="54">
        <v>26.46</v>
      </c>
      <c r="D23">
        <v>31.83</v>
      </c>
      <c r="E23" s="44">
        <v>24.34</v>
      </c>
      <c r="F23" s="55">
        <v>16.420000000000002</v>
      </c>
      <c r="G23" s="44">
        <v>10.95</v>
      </c>
      <c r="H23" s="56">
        <v>8.7899999999999991</v>
      </c>
      <c r="J23" s="3" t="s">
        <v>30</v>
      </c>
      <c r="K23" s="26">
        <v>2054</v>
      </c>
      <c r="L23" s="24">
        <f t="shared" si="1"/>
        <v>1</v>
      </c>
      <c r="M23" s="24">
        <f t="shared" si="1"/>
        <v>0.83129123468426025</v>
      </c>
      <c r="N23" s="24">
        <f t="shared" si="1"/>
        <v>1.0870994248151191</v>
      </c>
      <c r="O23" s="24">
        <f t="shared" si="1"/>
        <v>1.6114494518879414</v>
      </c>
      <c r="P23" s="24">
        <f t="shared" si="1"/>
        <v>2.4164383561643836</v>
      </c>
      <c r="Q23" s="24">
        <f t="shared" si="1"/>
        <v>3.0102389078498297</v>
      </c>
      <c r="U23" s="5" t="s">
        <v>1</v>
      </c>
      <c r="V23">
        <v>1</v>
      </c>
      <c r="W23" s="9">
        <v>0.92002176278563663</v>
      </c>
      <c r="X23" s="9">
        <v>1.3057915057915059</v>
      </c>
      <c r="Y23" s="9">
        <v>2.0447400241837972</v>
      </c>
      <c r="Z23" s="9">
        <v>3.2117758784425452</v>
      </c>
      <c r="AA23" s="9">
        <v>4.3248081841432224</v>
      </c>
    </row>
    <row r="24" spans="1:27" x14ac:dyDescent="0.2">
      <c r="A24" s="5" t="s">
        <v>28</v>
      </c>
      <c r="B24">
        <v>2055</v>
      </c>
      <c r="C24" s="54">
        <v>31.44</v>
      </c>
      <c r="D24">
        <v>23.35</v>
      </c>
      <c r="E24" s="44">
        <v>12.36</v>
      </c>
      <c r="F24" s="55">
        <v>7.94</v>
      </c>
      <c r="G24" s="44">
        <v>7.17</v>
      </c>
      <c r="H24" s="56">
        <v>6.02</v>
      </c>
      <c r="J24" s="5" t="s">
        <v>28</v>
      </c>
      <c r="K24">
        <v>2055</v>
      </c>
      <c r="L24" s="24">
        <f t="shared" si="1"/>
        <v>1</v>
      </c>
      <c r="M24" s="24">
        <f t="shared" si="1"/>
        <v>1.3464668094218415</v>
      </c>
      <c r="N24" s="24">
        <f t="shared" si="1"/>
        <v>2.5436893203883497</v>
      </c>
      <c r="O24" s="24">
        <f t="shared" si="1"/>
        <v>3.9596977329974812</v>
      </c>
      <c r="P24" s="24">
        <f t="shared" si="1"/>
        <v>4.3849372384937242</v>
      </c>
      <c r="Q24" s="24">
        <f t="shared" si="1"/>
        <v>5.2225913621262468</v>
      </c>
      <c r="U24" s="5" t="s">
        <v>0</v>
      </c>
      <c r="V24">
        <v>1</v>
      </c>
      <c r="W24" s="9">
        <v>0.93197725284339461</v>
      </c>
      <c r="X24" s="9">
        <v>1.1239778422579796</v>
      </c>
      <c r="Y24" s="9">
        <v>1.5539752005835155</v>
      </c>
      <c r="Z24" s="9">
        <v>1.9846297158826269</v>
      </c>
      <c r="AA24" s="9">
        <v>2.2970350404312669</v>
      </c>
    </row>
    <row r="25" spans="1:27" x14ac:dyDescent="0.2">
      <c r="A25" s="5" t="s">
        <v>26</v>
      </c>
      <c r="B25" s="7">
        <v>2056</v>
      </c>
      <c r="C25" s="54">
        <v>23.45</v>
      </c>
      <c r="D25">
        <v>17.18</v>
      </c>
      <c r="E25" s="44">
        <v>6.2</v>
      </c>
      <c r="F25" s="55">
        <v>2.75</v>
      </c>
      <c r="G25" s="44">
        <v>1.83</v>
      </c>
      <c r="H25" s="56">
        <v>1.32</v>
      </c>
      <c r="J25" s="5" t="s">
        <v>26</v>
      </c>
      <c r="K25" s="7">
        <v>2056</v>
      </c>
      <c r="L25" s="24">
        <f t="shared" si="1"/>
        <v>1</v>
      </c>
      <c r="M25" s="24">
        <f t="shared" si="1"/>
        <v>1.3649592549476135</v>
      </c>
      <c r="N25" s="24">
        <f t="shared" si="1"/>
        <v>3.782258064516129</v>
      </c>
      <c r="O25" s="24">
        <f t="shared" si="1"/>
        <v>8.5272727272727273</v>
      </c>
      <c r="P25" s="24">
        <f t="shared" si="1"/>
        <v>12.814207650273223</v>
      </c>
      <c r="Q25" s="24">
        <f t="shared" si="1"/>
        <v>17.765151515151512</v>
      </c>
      <c r="U25" s="7"/>
      <c r="V25" s="38"/>
      <c r="W25" s="38"/>
      <c r="X25" s="38"/>
      <c r="Y25" s="38"/>
      <c r="Z25" s="38"/>
      <c r="AA25" s="38"/>
    </row>
    <row r="26" spans="1:27" x14ac:dyDescent="0.2">
      <c r="A26" s="5" t="s">
        <v>24</v>
      </c>
      <c r="B26" s="7">
        <v>2057</v>
      </c>
      <c r="C26" s="54">
        <v>22.94</v>
      </c>
      <c r="D26">
        <v>20.38</v>
      </c>
      <c r="E26" s="44">
        <v>8.9600000000000009</v>
      </c>
      <c r="F26" s="55">
        <v>4.29</v>
      </c>
      <c r="G26" s="44">
        <v>2.78</v>
      </c>
      <c r="H26" s="56">
        <v>1.85</v>
      </c>
      <c r="J26" s="5" t="s">
        <v>24</v>
      </c>
      <c r="K26" s="7">
        <v>2057</v>
      </c>
      <c r="L26" s="24">
        <f t="shared" si="1"/>
        <v>1</v>
      </c>
      <c r="M26" s="24">
        <f t="shared" si="1"/>
        <v>1.1256133464180571</v>
      </c>
      <c r="N26" s="24">
        <f t="shared" si="1"/>
        <v>2.5602678571428572</v>
      </c>
      <c r="O26" s="24">
        <f t="shared" si="1"/>
        <v>5.3473193473193472</v>
      </c>
      <c r="P26" s="24">
        <f t="shared" si="1"/>
        <v>8.2517985611510802</v>
      </c>
      <c r="Q26" s="24">
        <f t="shared" si="1"/>
        <v>12.4</v>
      </c>
    </row>
    <row r="27" spans="1:27" x14ac:dyDescent="0.2">
      <c r="A27" s="5" t="s">
        <v>22</v>
      </c>
      <c r="B27" s="7">
        <v>2058</v>
      </c>
      <c r="C27" s="54">
        <v>22.02</v>
      </c>
      <c r="D27">
        <v>19.11</v>
      </c>
      <c r="E27" s="44">
        <v>10.98</v>
      </c>
      <c r="F27" s="55">
        <v>7.86</v>
      </c>
      <c r="G27" s="44">
        <v>6.72</v>
      </c>
      <c r="H27" s="56">
        <v>5.42</v>
      </c>
      <c r="J27" s="5" t="s">
        <v>22</v>
      </c>
      <c r="K27" s="7">
        <v>2058</v>
      </c>
      <c r="L27" s="24">
        <f t="shared" si="1"/>
        <v>1</v>
      </c>
      <c r="M27" s="24">
        <f t="shared" si="1"/>
        <v>1.152276295133438</v>
      </c>
      <c r="N27" s="24">
        <f t="shared" si="1"/>
        <v>2.0054644808743167</v>
      </c>
      <c r="O27" s="24">
        <f t="shared" si="1"/>
        <v>2.8015267175572518</v>
      </c>
      <c r="P27" s="24">
        <f t="shared" si="1"/>
        <v>3.2767857142857144</v>
      </c>
      <c r="Q27" s="24">
        <f t="shared" si="1"/>
        <v>4.0627306273062729</v>
      </c>
    </row>
    <row r="28" spans="1:27" x14ac:dyDescent="0.2">
      <c r="A28" s="3" t="s">
        <v>20</v>
      </c>
      <c r="C28" s="54">
        <v>0.01</v>
      </c>
      <c r="D28">
        <v>0</v>
      </c>
      <c r="E28" s="44">
        <v>0.04</v>
      </c>
      <c r="F28" s="55">
        <v>0.04</v>
      </c>
      <c r="G28" s="44">
        <v>0.13</v>
      </c>
      <c r="H28" s="56">
        <v>0.09</v>
      </c>
      <c r="P28" s="24"/>
      <c r="Q28" s="24"/>
    </row>
    <row r="29" spans="1:27" x14ac:dyDescent="0.2">
      <c r="A29" s="3" t="s">
        <v>20</v>
      </c>
      <c r="C29" s="54">
        <v>0.02</v>
      </c>
      <c r="D29">
        <v>0</v>
      </c>
      <c r="E29" s="44">
        <v>0.06</v>
      </c>
      <c r="F29" s="55">
        <v>0.03</v>
      </c>
      <c r="G29" s="44">
        <v>0.03</v>
      </c>
      <c r="H29" s="56">
        <v>0.01</v>
      </c>
      <c r="P29" s="24"/>
      <c r="Q29" s="24"/>
      <c r="U29" s="7" t="s">
        <v>81</v>
      </c>
      <c r="V29" s="19" t="s">
        <v>19</v>
      </c>
      <c r="W29" s="19" t="s">
        <v>18</v>
      </c>
      <c r="X29" s="19" t="s">
        <v>17</v>
      </c>
      <c r="Y29" s="19" t="s">
        <v>16</v>
      </c>
      <c r="Z29" s="19" t="s">
        <v>15</v>
      </c>
      <c r="AA29" s="19" t="s">
        <v>14</v>
      </c>
    </row>
    <row r="30" spans="1:27" x14ac:dyDescent="0.2">
      <c r="A30" s="3" t="s">
        <v>20</v>
      </c>
      <c r="C30" s="54">
        <v>0.01</v>
      </c>
      <c r="D30">
        <v>0</v>
      </c>
      <c r="E30" s="44">
        <v>0.01</v>
      </c>
      <c r="F30" s="55">
        <v>0</v>
      </c>
      <c r="G30" s="44">
        <v>7.0000000000000007E-2</v>
      </c>
      <c r="H30" s="56">
        <v>0.02</v>
      </c>
      <c r="P30" s="24"/>
      <c r="Q30" s="24"/>
      <c r="U30" s="18" t="s">
        <v>13</v>
      </c>
      <c r="V30" s="16">
        <v>1</v>
      </c>
      <c r="W30" s="16">
        <v>1.0344729137114106</v>
      </c>
      <c r="X30" s="16">
        <v>1.9209859784321321</v>
      </c>
      <c r="Y30" s="16">
        <v>1.9209859784321321</v>
      </c>
      <c r="Z30" s="16">
        <v>5.2599909966489564</v>
      </c>
      <c r="AA30" s="16">
        <v>7.1684094842561468</v>
      </c>
    </row>
    <row r="31" spans="1:27" x14ac:dyDescent="0.2">
      <c r="A31" s="3" t="s">
        <v>20</v>
      </c>
      <c r="C31" s="59">
        <v>0.01</v>
      </c>
      <c r="D31" s="60">
        <v>0</v>
      </c>
      <c r="E31" s="61">
        <v>0.01</v>
      </c>
      <c r="F31" s="62">
        <v>0.02</v>
      </c>
      <c r="G31" s="45">
        <v>7.0000000000000007E-2</v>
      </c>
      <c r="H31" s="63">
        <v>0.06</v>
      </c>
      <c r="P31" s="24"/>
      <c r="Q31" s="24"/>
      <c r="U31" s="13" t="s">
        <v>12</v>
      </c>
      <c r="V31" s="11">
        <v>1</v>
      </c>
      <c r="W31" s="11">
        <v>0.89134412606550029</v>
      </c>
      <c r="X31" s="11">
        <v>1.024640432268854</v>
      </c>
      <c r="Y31" s="11">
        <v>1.024640432268854</v>
      </c>
      <c r="Z31" s="11">
        <v>1.2556489323093678</v>
      </c>
      <c r="AA31" s="11">
        <v>1.2536561771774224</v>
      </c>
    </row>
    <row r="32" spans="1:27" x14ac:dyDescent="0.2">
      <c r="K32" s="7" t="s">
        <v>81</v>
      </c>
      <c r="L32" s="19" t="s">
        <v>19</v>
      </c>
      <c r="M32" s="19" t="s">
        <v>18</v>
      </c>
      <c r="N32" s="19" t="s">
        <v>17</v>
      </c>
      <c r="O32" s="19" t="s">
        <v>16</v>
      </c>
      <c r="P32" s="20" t="s">
        <v>15</v>
      </c>
      <c r="Q32" s="19" t="s">
        <v>14</v>
      </c>
      <c r="U32" s="7" t="s">
        <v>10</v>
      </c>
      <c r="V32" s="9">
        <v>1</v>
      </c>
      <c r="W32" s="9">
        <v>0.94318222118214867</v>
      </c>
      <c r="X32" s="9">
        <v>1.4046088866826096</v>
      </c>
      <c r="Y32" s="9">
        <v>1.4046088866826096</v>
      </c>
      <c r="Z32" s="9">
        <v>3.2063478718890162</v>
      </c>
      <c r="AA32" s="9">
        <v>4.0370629902028732</v>
      </c>
    </row>
    <row r="33" spans="3:17" x14ac:dyDescent="0.2">
      <c r="K33" s="18" t="s">
        <v>13</v>
      </c>
      <c r="L33" s="16">
        <f>AVERAGE(L20:L27)</f>
        <v>1</v>
      </c>
      <c r="M33" s="16">
        <f t="shared" ref="M33:Q33" si="2">AVERAGE(M20:M27)</f>
        <v>1.0344729137114106</v>
      </c>
      <c r="N33" s="16">
        <f t="shared" si="2"/>
        <v>1.9209859784321321</v>
      </c>
      <c r="O33" s="16">
        <f t="shared" si="2"/>
        <v>3.5347747034268426</v>
      </c>
      <c r="P33" s="17">
        <f t="shared" si="2"/>
        <v>5.2599909966489564</v>
      </c>
      <c r="Q33" s="16">
        <f t="shared" si="2"/>
        <v>7.1684094842561468</v>
      </c>
    </row>
    <row r="34" spans="3:17" x14ac:dyDescent="0.2">
      <c r="K34" s="13" t="s">
        <v>12</v>
      </c>
      <c r="L34" s="11">
        <f t="shared" ref="L34:Q34" si="3">AVERAGE(L12:L15)</f>
        <v>1</v>
      </c>
      <c r="M34" s="11">
        <f t="shared" si="3"/>
        <v>0.89134412606550029</v>
      </c>
      <c r="N34" s="11">
        <f t="shared" si="3"/>
        <v>1.024640432268854</v>
      </c>
      <c r="O34" s="11">
        <f t="shared" si="3"/>
        <v>1.1693989761587538</v>
      </c>
      <c r="P34" s="12">
        <f t="shared" si="3"/>
        <v>1.2556489323093678</v>
      </c>
      <c r="Q34" s="11">
        <f t="shared" si="3"/>
        <v>1.2536561771774224</v>
      </c>
    </row>
    <row r="35" spans="3:17" x14ac:dyDescent="0.2">
      <c r="K35" s="7" t="s">
        <v>10</v>
      </c>
      <c r="L35" s="9">
        <f t="shared" ref="L35:Q35" si="4">AVERAGE(L16:L19)</f>
        <v>1</v>
      </c>
      <c r="M35" s="9">
        <f>AVERAGE(M16:M19)</f>
        <v>0.94318222118214867</v>
      </c>
      <c r="N35" s="9">
        <f t="shared" si="4"/>
        <v>1.4046088866826096</v>
      </c>
      <c r="O35" s="9">
        <f t="shared" si="4"/>
        <v>2.1586837781037542</v>
      </c>
      <c r="P35" s="10">
        <f t="shared" si="4"/>
        <v>3.2063478718890162</v>
      </c>
      <c r="Q35" s="9">
        <f t="shared" si="4"/>
        <v>4.0370629902028732</v>
      </c>
    </row>
    <row r="36" spans="3:17" x14ac:dyDescent="0.2">
      <c r="C36" s="22"/>
      <c r="E36" s="22"/>
      <c r="F36" s="22"/>
      <c r="G36" s="21"/>
      <c r="H36" s="21"/>
      <c r="P36" s="71"/>
    </row>
    <row r="37" spans="3:17" x14ac:dyDescent="0.2">
      <c r="K37" s="7" t="s">
        <v>10</v>
      </c>
      <c r="O37" s="1">
        <f>(O35-O$34)/(O$33-O$34)</f>
        <v>0.41823579676603156</v>
      </c>
      <c r="P37" s="8">
        <f>(P35-P$34)/(P$33-P$34)</f>
        <v>0.48714593015203983</v>
      </c>
      <c r="Q37" s="40">
        <f>(Q35-Q$34)/(Q$33-Q$34)</f>
        <v>0.47058713500262034</v>
      </c>
    </row>
    <row r="38" spans="3:17" x14ac:dyDescent="0.2">
      <c r="K38" s="7" t="s">
        <v>9</v>
      </c>
      <c r="N38" s="1"/>
      <c r="O38" s="1">
        <f>(O34-O$34)/O$33</f>
        <v>0</v>
      </c>
      <c r="P38" s="6">
        <f>(P34-P$34)/P$33</f>
        <v>0</v>
      </c>
      <c r="Q38" s="40">
        <f>(Q34-Q$34)/Q$33</f>
        <v>0</v>
      </c>
    </row>
    <row r="40" spans="3:17" x14ac:dyDescent="0.2">
      <c r="K40" s="2" t="s">
        <v>3</v>
      </c>
      <c r="O40" s="1">
        <f t="shared" ref="O40:Q43" si="5">(O16-O$34)/(O$33-O$34)</f>
        <v>0.71025197780628013</v>
      </c>
      <c r="P40" s="1">
        <f t="shared" si="5"/>
        <v>0.82979948260755843</v>
      </c>
      <c r="Q40" s="1">
        <f t="shared" si="5"/>
        <v>0.75838840317230993</v>
      </c>
    </row>
    <row r="41" spans="3:17" x14ac:dyDescent="0.2">
      <c r="H41" s="7"/>
      <c r="K41" s="2" t="s">
        <v>2</v>
      </c>
      <c r="O41" s="1">
        <f t="shared" si="5"/>
        <v>0.43004125520384173</v>
      </c>
      <c r="P41" s="1">
        <f t="shared" si="5"/>
        <v>0.44823519734333767</v>
      </c>
      <c r="Q41" s="1">
        <f t="shared" si="5"/>
        <v>0.42832150973001965</v>
      </c>
    </row>
    <row r="42" spans="3:17" x14ac:dyDescent="0.2">
      <c r="K42" s="2" t="s">
        <v>1</v>
      </c>
      <c r="O42" s="1">
        <f t="shared" si="5"/>
        <v>0.37006427263715358</v>
      </c>
      <c r="P42" s="1">
        <f t="shared" si="5"/>
        <v>0.48850146034059883</v>
      </c>
      <c r="Q42" s="1">
        <f t="shared" si="5"/>
        <v>0.51923585778129966</v>
      </c>
    </row>
    <row r="43" spans="3:17" x14ac:dyDescent="0.2">
      <c r="K43" s="2" t="s">
        <v>0</v>
      </c>
      <c r="O43" s="1">
        <f t="shared" si="5"/>
        <v>0.16258568141685101</v>
      </c>
      <c r="P43" s="1">
        <f t="shared" si="5"/>
        <v>0.1820475803166644</v>
      </c>
      <c r="Q43" s="1">
        <f t="shared" si="5"/>
        <v>0.17640276932685223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SNU1 c12</vt:lpstr>
      <vt:lpstr>SNU1 c13</vt:lpstr>
      <vt:lpstr>SNU1 c24</vt:lpstr>
      <vt:lpstr>SNU1 c114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2026-09-24T21:52:20Z</dcterms:created>
  <dcterms:modified xsi:type="dcterms:W3CDTF">2026-09-24T22:10:19Z</dcterms:modified>
</cp:coreProperties>
</file>