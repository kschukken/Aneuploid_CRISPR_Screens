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caduto/Documents/Klaske/Klaske/Digital lab notebook/Hit Gene follow up/UBE2H/Seahorse/HCT116 2026.09.08/"/>
    </mc:Choice>
  </mc:AlternateContent>
  <xr:revisionPtr revIDLastSave="0" documentId="13_ncr:1_{4EAB472A-1A3B-C840-B4B6-615F003FA84A}" xr6:coauthVersionLast="47" xr6:coauthVersionMax="47" xr10:uidLastSave="{00000000-0000-0000-0000-000000000000}"/>
  <bookViews>
    <workbookView xWindow="1740" yWindow="4500" windowWidth="27240" windowHeight="16440" xr2:uid="{2C859C38-5BDB-824C-91D0-FE2877F74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3" i="1" l="1"/>
  <c r="O85" i="1"/>
  <c r="O77" i="1"/>
  <c r="O67" i="1"/>
  <c r="O56" i="1"/>
  <c r="O51" i="1"/>
  <c r="N47" i="1"/>
  <c r="N38" i="1"/>
  <c r="N29" i="1"/>
  <c r="N20" i="1"/>
  <c r="N9" i="1"/>
  <c r="N93" i="1"/>
  <c r="O92" i="1"/>
  <c r="N92" i="1"/>
  <c r="O91" i="1"/>
  <c r="N91" i="1"/>
  <c r="O90" i="1"/>
  <c r="N90" i="1"/>
  <c r="N85" i="1"/>
  <c r="O84" i="1"/>
  <c r="N84" i="1"/>
  <c r="O83" i="1"/>
  <c r="N83" i="1"/>
  <c r="O82" i="1"/>
  <c r="N82" i="1"/>
  <c r="N77" i="1"/>
  <c r="O76" i="1"/>
  <c r="N76" i="1"/>
  <c r="O75" i="1"/>
  <c r="N75" i="1"/>
  <c r="O74" i="1"/>
  <c r="N74" i="1"/>
  <c r="O73" i="1"/>
  <c r="N73" i="1"/>
  <c r="N67" i="1"/>
  <c r="O66" i="1"/>
  <c r="N66" i="1"/>
  <c r="O65" i="1"/>
  <c r="N65" i="1"/>
  <c r="O64" i="1"/>
  <c r="N64" i="1"/>
  <c r="O59" i="1"/>
  <c r="N59" i="1"/>
  <c r="O58" i="1"/>
  <c r="N58" i="1"/>
  <c r="O57" i="1"/>
  <c r="N57" i="1"/>
  <c r="N56" i="1"/>
  <c r="N51" i="1"/>
  <c r="O50" i="1"/>
  <c r="N50" i="1"/>
  <c r="O49" i="1"/>
  <c r="N49" i="1"/>
  <c r="O48" i="1"/>
  <c r="N48" i="1"/>
  <c r="O47" i="1"/>
  <c r="O41" i="1"/>
  <c r="N41" i="1"/>
  <c r="O40" i="1"/>
  <c r="N40" i="1"/>
  <c r="O39" i="1"/>
  <c r="N39" i="1"/>
  <c r="O38" i="1"/>
  <c r="O33" i="1"/>
  <c r="N33" i="1"/>
  <c r="O32" i="1"/>
  <c r="N32" i="1"/>
  <c r="O31" i="1"/>
  <c r="N31" i="1"/>
  <c r="O30" i="1"/>
  <c r="N30" i="1"/>
  <c r="O29" i="1"/>
  <c r="O23" i="1"/>
  <c r="N23" i="1"/>
  <c r="O22" i="1"/>
  <c r="N22" i="1"/>
  <c r="O21" i="1"/>
  <c r="N21" i="1"/>
  <c r="O20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</calcChain>
</file>

<file path=xl/sharedStrings.xml><?xml version="1.0" encoding="utf-8"?>
<sst xmlns="http://schemas.openxmlformats.org/spreadsheetml/2006/main" count="291" uniqueCount="129">
  <si>
    <t>Group Name</t>
  </si>
  <si>
    <t>Assay Wells</t>
  </si>
  <si>
    <t>Non-Mitochondrial Oxygen Consumption</t>
  </si>
  <si>
    <t>Basal Respiration</t>
  </si>
  <si>
    <t>Maximal Respiration</t>
  </si>
  <si>
    <t>Proton Leak</t>
  </si>
  <si>
    <t>ATP Production</t>
  </si>
  <si>
    <t>Spare Respiratory Capacity</t>
  </si>
  <si>
    <t>Spare Respiratory Capacity as a %</t>
  </si>
  <si>
    <t>Coupling Efficiency</t>
  </si>
  <si>
    <t>Acute Response</t>
  </si>
  <si>
    <t>WT</t>
  </si>
  <si>
    <t>A02</t>
  </si>
  <si>
    <t>B01</t>
  </si>
  <si>
    <t>B02</t>
  </si>
  <si>
    <t>C01</t>
  </si>
  <si>
    <t>C02</t>
  </si>
  <si>
    <t>D01</t>
  </si>
  <si>
    <t>D02</t>
  </si>
  <si>
    <t>E01</t>
  </si>
  <si>
    <t>E02</t>
  </si>
  <si>
    <t>F01</t>
  </si>
  <si>
    <t>F02</t>
  </si>
  <si>
    <t>G01</t>
  </si>
  <si>
    <t>G02</t>
  </si>
  <si>
    <t>H02</t>
  </si>
  <si>
    <t>OE</t>
  </si>
  <si>
    <t>A03</t>
  </si>
  <si>
    <t>B03</t>
  </si>
  <si>
    <t>C03</t>
  </si>
  <si>
    <t>D03</t>
  </si>
  <si>
    <t>E03</t>
  </si>
  <si>
    <t>F03</t>
  </si>
  <si>
    <t>G03</t>
  </si>
  <si>
    <t>H03</t>
  </si>
  <si>
    <t>KO1</t>
  </si>
  <si>
    <t>A04</t>
  </si>
  <si>
    <t>B04</t>
  </si>
  <si>
    <t>B12</t>
  </si>
  <si>
    <t>C04</t>
  </si>
  <si>
    <t>D04</t>
  </si>
  <si>
    <t>E04</t>
  </si>
  <si>
    <t>E12</t>
  </si>
  <si>
    <t>F04</t>
  </si>
  <si>
    <t>G04</t>
  </si>
  <si>
    <t>H04</t>
  </si>
  <si>
    <t>A07</t>
  </si>
  <si>
    <t>B07</t>
  </si>
  <si>
    <t>C07</t>
  </si>
  <si>
    <t>D07</t>
  </si>
  <si>
    <t>E07</t>
  </si>
  <si>
    <t>F07</t>
  </si>
  <si>
    <t>G07</t>
  </si>
  <si>
    <t>H07</t>
  </si>
  <si>
    <t>KO2</t>
  </si>
  <si>
    <t>A05</t>
  </si>
  <si>
    <t>B05</t>
  </si>
  <si>
    <t>C05</t>
  </si>
  <si>
    <t>C12</t>
  </si>
  <si>
    <t>D05</t>
  </si>
  <si>
    <t>E05</t>
  </si>
  <si>
    <t>F05</t>
  </si>
  <si>
    <t>F12</t>
  </si>
  <si>
    <t>G05</t>
  </si>
  <si>
    <t>H05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</si>
  <si>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</si>
  <si>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</si>
  <si>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</si>
  <si>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</si>
  <si>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</si>
  <si>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</si>
  <si>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</si>
  <si>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</si>
  <si>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</si>
  <si>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</si>
  <si>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</si>
  <si>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</si>
  <si>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</si>
  <si>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</si>
  <si>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</si>
  <si>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</si>
  <si>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KO3</t>
  </si>
  <si>
    <t>A06</t>
  </si>
  <si>
    <t>B06</t>
  </si>
  <si>
    <t>C06</t>
  </si>
  <si>
    <t>D06</t>
  </si>
  <si>
    <t>D12</t>
  </si>
  <si>
    <t>E06</t>
  </si>
  <si>
    <t>F06</t>
  </si>
  <si>
    <t>G06</t>
  </si>
  <si>
    <t>G12</t>
  </si>
  <si>
    <t>H06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</si>
  <si>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</si>
  <si>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</si>
  <si>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</si>
  <si>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</si>
  <si>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</si>
  <si>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</si>
  <si>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</si>
  <si>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</si>
  <si>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</si>
  <si>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</si>
  <si>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</si>
  <si>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</si>
  <si>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</si>
  <si>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</si>
  <si>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</si>
  <si>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</si>
  <si>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High</t>
  </si>
  <si>
    <t>Low</t>
  </si>
  <si>
    <t>KO1.AZ</t>
  </si>
  <si>
    <t>KO1.OE1</t>
  </si>
  <si>
    <t>KO1.OE1.AZ</t>
  </si>
  <si>
    <t>KO2.AZ</t>
  </si>
  <si>
    <t>KO2.OE1</t>
  </si>
  <si>
    <t>KO2.OE1.AZ</t>
  </si>
  <si>
    <t>KO2.OE2</t>
  </si>
  <si>
    <t>KO2.OE2.AZ</t>
  </si>
  <si>
    <t>KO3.AZ</t>
  </si>
  <si>
    <t>KO3.OE2</t>
  </si>
  <si>
    <t>KO3.OE2.AZ</t>
  </si>
  <si>
    <t>KO3.OE5</t>
  </si>
  <si>
    <t>KO3.OE5.AZ</t>
  </si>
  <si>
    <t>OE.AZ</t>
  </si>
  <si>
    <t>WT.AZ</t>
  </si>
  <si>
    <t>CellCoverage</t>
  </si>
  <si>
    <t>AZ3146</t>
  </si>
  <si>
    <t>AZ.ATP.Diff</t>
  </si>
  <si>
    <t>AZ.Basal.Diff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</si>
</sst>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0.00%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 wrapText="1"/>
    </xf>
    <xf numFmtId="49" fontId="4" fillId="0" borderId="14" xfId="0" applyNumberFormat="1" applyFont="1" applyBorder="1" applyAlignment="1">
      <alignment vertical="center" wrapText="1"/>
    </xf>
    <xf numFmtId="2" fontId="0" fillId="0" borderId="0" xfId="0" applyNumberFormat="1"/>
    <xf numFmtId="0" fontId="1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4457-8C8B-9245-BF97-F15BACD96CAC}">
  <dimension ref="A1:O94"/>
  <sheetViews>
    <sheetView tabSelected="1" topLeftCell="C1" workbookViewId="0">
      <selection activeCell="F6" sqref="F6"/>
    </sheetView>
  </sheetViews>
  <sheetFormatPr baseColWidth="10" defaultColWidth="8.83203125" defaultRowHeight="19" x14ac:dyDescent="0.25"/>
  <cols>
    <col min="1" max="1" width="16.6640625" customWidth="1"/>
    <col min="2" max="2" width="12" customWidth="1"/>
    <col min="3" max="3" width="23" customWidth="1"/>
    <col min="4" max="5" width="16.5" customWidth="1"/>
    <col min="6" max="6" width="14.33203125" customWidth="1"/>
    <col min="7" max="7" width="17.1640625" customWidth="1"/>
    <col min="8" max="8" width="19" customWidth="1"/>
    <col min="9" max="9" width="21.83203125" customWidth="1"/>
    <col min="10" max="10" width="16.1640625" customWidth="1"/>
    <col min="11" max="11" width="14.33203125" customWidth="1"/>
    <col min="12" max="12" width="12.5" customWidth="1"/>
    <col min="13" max="13" width="8.83203125" style="1"/>
  </cols>
  <sheetData>
    <row r="1" spans="1:15" ht="35" thickBot="1" x14ac:dyDescent="0.25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20" t="s">
        <v>125</v>
      </c>
      <c r="M1" s="21" t="s">
        <v>126</v>
      </c>
      <c r="N1" s="22" t="s">
        <v>127</v>
      </c>
      <c r="O1" s="22" t="s">
        <v>128</v>
      </c>
    </row>
    <row r="2" spans="1:15" ht="23" thickBot="1" x14ac:dyDescent="0.3">
      <c r="A2" s="17" t="s">
        <v>11</v>
      </c>
      <c r="B2" s="6" t="s">
        <v>12</v>
      </c>
      <c r="C2" s="7">
        <v>2.4933340549468994</v>
      </c>
      <c r="D2" s="8">
        <v>6.8922624588012695</v>
      </c>
      <c r="E2" s="8">
        <v>11.646448135375977</v>
      </c>
      <c r="F2" s="8">
        <v>1.9607315063476562</v>
      </c>
      <c r="G2" s="8">
        <v>4.9315309524536133</v>
      </c>
      <c r="H2" s="8">
        <v>4.754185676574707</v>
      </c>
      <c r="I2" s="9">
        <v>1.6897859573364258</v>
      </c>
      <c r="J2" s="9">
        <v>0.71551698446273804</v>
      </c>
      <c r="K2" s="10"/>
      <c r="L2" t="s">
        <v>109</v>
      </c>
      <c r="M2" s="1">
        <v>0</v>
      </c>
      <c r="N2">
        <v>0</v>
      </c>
      <c r="O2">
        <v>0</v>
      </c>
    </row>
    <row r="3" spans="1:15" ht="23" thickBot="1" x14ac:dyDescent="0.3">
      <c r="A3" s="17" t="s">
        <v>11</v>
      </c>
      <c r="B3" s="6" t="s">
        <v>13</v>
      </c>
      <c r="C3" s="7">
        <v>1.4325871467590332</v>
      </c>
      <c r="D3" s="8">
        <v>6.2370905876159668</v>
      </c>
      <c r="E3" s="8">
        <v>11.459133148193359</v>
      </c>
      <c r="F3" s="8">
        <v>1.3816741704940796</v>
      </c>
      <c r="G3" s="8">
        <v>4.8554162979125977</v>
      </c>
      <c r="H3" s="8">
        <v>5.2220425605773926</v>
      </c>
      <c r="I3" s="9">
        <v>1.8372561931610107</v>
      </c>
      <c r="J3" s="9">
        <v>0.77847456932067871</v>
      </c>
      <c r="K3" s="10"/>
      <c r="L3" t="s">
        <v>108</v>
      </c>
      <c r="M3" s="1">
        <v>0</v>
      </c>
      <c r="N3">
        <v>0</v>
      </c>
      <c r="O3">
        <v>0</v>
      </c>
    </row>
    <row r="4" spans="1:15" ht="23" thickBot="1" x14ac:dyDescent="0.3">
      <c r="A4" s="17" t="s">
        <v>11</v>
      </c>
      <c r="B4" s="6" t="s">
        <v>14</v>
      </c>
      <c r="C4" s="7">
        <v>1.7049769163131714</v>
      </c>
      <c r="D4" s="8">
        <v>6.9161505699157715</v>
      </c>
      <c r="E4" s="8">
        <v>12.368228912353516</v>
      </c>
      <c r="F4" s="8">
        <v>1.7727254629135132</v>
      </c>
      <c r="G4" s="8">
        <v>5.1434249877929688</v>
      </c>
      <c r="H4" s="8">
        <v>5.4520783424377441</v>
      </c>
      <c r="I4" s="9">
        <v>1.7883111238479614</v>
      </c>
      <c r="J4" s="9">
        <v>0.74368321895599365</v>
      </c>
      <c r="K4" s="10"/>
      <c r="L4" t="s">
        <v>108</v>
      </c>
      <c r="M4" s="1">
        <v>0</v>
      </c>
      <c r="N4">
        <v>0</v>
      </c>
      <c r="O4">
        <v>0</v>
      </c>
    </row>
    <row r="5" spans="1:15" ht="23" thickBot="1" x14ac:dyDescent="0.3">
      <c r="A5" s="17" t="s">
        <v>11</v>
      </c>
      <c r="B5" s="6" t="s">
        <v>15</v>
      </c>
      <c r="C5" s="7">
        <v>1.422580361366272</v>
      </c>
      <c r="D5" s="8">
        <v>6.5194144248962402</v>
      </c>
      <c r="E5" s="8">
        <v>11.747102737426758</v>
      </c>
      <c r="F5" s="8">
        <v>1.5390576124191284</v>
      </c>
      <c r="G5" s="8">
        <v>4.9803566932678223</v>
      </c>
      <c r="H5" s="8">
        <v>5.2276883125305176</v>
      </c>
      <c r="I5" s="9">
        <v>1.8018647432327271</v>
      </c>
      <c r="J5" s="9">
        <v>0.76392698287963867</v>
      </c>
      <c r="K5" s="10"/>
      <c r="L5" t="s">
        <v>108</v>
      </c>
      <c r="M5" s="1">
        <v>0</v>
      </c>
      <c r="N5">
        <v>0</v>
      </c>
      <c r="O5">
        <v>0</v>
      </c>
    </row>
    <row r="6" spans="1:15" ht="23" thickBot="1" x14ac:dyDescent="0.3">
      <c r="A6" s="17" t="s">
        <v>11</v>
      </c>
      <c r="B6" s="6" t="s">
        <v>16</v>
      </c>
      <c r="C6" s="7">
        <v>1.1652767658233643</v>
      </c>
      <c r="D6" s="8">
        <v>5.6363544464111328</v>
      </c>
      <c r="E6" s="8">
        <v>8.5780620574951172</v>
      </c>
      <c r="F6" s="8">
        <v>1.2852879762649536</v>
      </c>
      <c r="G6" s="8">
        <v>4.3510665893554688</v>
      </c>
      <c r="H6" s="8">
        <v>2.9417076110839844</v>
      </c>
      <c r="I6" s="9">
        <v>1.5219167470932007</v>
      </c>
      <c r="J6" s="9">
        <v>0.7719646692276001</v>
      </c>
      <c r="K6" s="10"/>
      <c r="L6" t="s">
        <v>108</v>
      </c>
      <c r="M6" s="1">
        <v>0</v>
      </c>
      <c r="N6">
        <v>0</v>
      </c>
      <c r="O6">
        <v>0</v>
      </c>
    </row>
    <row r="7" spans="1:15" ht="23" thickBot="1" x14ac:dyDescent="0.3">
      <c r="A7" s="17" t="s">
        <v>11</v>
      </c>
      <c r="B7" s="6" t="s">
        <v>17</v>
      </c>
      <c r="C7" s="7">
        <v>1.3109182119369507</v>
      </c>
      <c r="D7" s="8">
        <v>4.7504806518554688</v>
      </c>
      <c r="E7" s="8">
        <v>8.3248090744018555</v>
      </c>
      <c r="F7" s="8">
        <v>1.2734761238098145</v>
      </c>
      <c r="G7" s="8">
        <v>3.4770045280456543</v>
      </c>
      <c r="H7" s="8">
        <v>3.5743284225463867</v>
      </c>
      <c r="I7" s="9">
        <v>1.7524141073226929</v>
      </c>
      <c r="J7" s="9">
        <v>0.73192691802978516</v>
      </c>
      <c r="K7" s="10"/>
      <c r="L7" t="s">
        <v>108</v>
      </c>
      <c r="M7" s="1">
        <v>0</v>
      </c>
      <c r="N7">
        <v>0</v>
      </c>
      <c r="O7">
        <v>0</v>
      </c>
    </row>
    <row r="8" spans="1:15" ht="23" thickBot="1" x14ac:dyDescent="0.3">
      <c r="A8" s="18" t="s">
        <v>11</v>
      </c>
      <c r="B8" s="11" t="s">
        <v>18</v>
      </c>
      <c r="C8" s="12">
        <v>0.90737026929855347</v>
      </c>
      <c r="D8" s="13">
        <v>4.3189997673034668</v>
      </c>
      <c r="E8" s="13">
        <v>7.7911286354064941</v>
      </c>
      <c r="F8" s="13">
        <v>1.0421332120895386</v>
      </c>
      <c r="G8" s="13">
        <v>3.2768664360046387</v>
      </c>
      <c r="H8" s="13">
        <v>3.4721288681030273</v>
      </c>
      <c r="I8" s="14">
        <v>1.8039196729660034</v>
      </c>
      <c r="J8" s="14">
        <v>0.75870954990386963</v>
      </c>
      <c r="K8" s="15"/>
      <c r="L8" t="s">
        <v>108</v>
      </c>
      <c r="M8" s="1">
        <v>0</v>
      </c>
      <c r="N8">
        <v>0</v>
      </c>
      <c r="O8">
        <v>0</v>
      </c>
    </row>
    <row r="9" spans="1:15" ht="22" thickBot="1" x14ac:dyDescent="0.3">
      <c r="A9" s="16" t="s">
        <v>124</v>
      </c>
      <c r="B9" s="6" t="s">
        <v>19</v>
      </c>
      <c r="C9" s="7">
        <v>1.543256402015686</v>
      </c>
      <c r="D9" s="8">
        <v>6.2435011863708496</v>
      </c>
      <c r="E9" s="8">
        <v>12.229637145996094</v>
      </c>
      <c r="F9" s="8">
        <v>1.68463134765625</v>
      </c>
      <c r="G9" s="8">
        <v>4.5588698387145996</v>
      </c>
      <c r="H9" s="8">
        <v>5.9861359596252441</v>
      </c>
      <c r="I9" s="9">
        <v>1.9587787389755249</v>
      </c>
      <c r="J9" s="9">
        <v>0.73017841577529907</v>
      </c>
      <c r="K9" s="10"/>
      <c r="L9" t="s">
        <v>108</v>
      </c>
      <c r="M9" s="1">
        <v>1</v>
      </c>
      <c r="N9" s="19">
        <f>G9/AVERAGE(G$2:G$8)</f>
        <v>1.0289022448254594</v>
      </c>
      <c r="O9" s="19">
        <f>D9/AVERAGE(D$2:D$8)</f>
        <v>1.0589704627703962</v>
      </c>
    </row>
    <row r="10" spans="1:15" ht="22" thickBot="1" x14ac:dyDescent="0.3">
      <c r="A10" s="16" t="s">
        <v>124</v>
      </c>
      <c r="B10" s="6" t="s">
        <v>20</v>
      </c>
      <c r="C10" s="7">
        <v>1.36717689037323</v>
      </c>
      <c r="D10" s="8">
        <v>5.6591439247131348</v>
      </c>
      <c r="E10" s="8">
        <v>9.3976039886474609</v>
      </c>
      <c r="F10" s="8">
        <v>1.5432425737380981</v>
      </c>
      <c r="G10" s="8">
        <v>4.1159014701843262</v>
      </c>
      <c r="H10" s="8">
        <v>3.7384600639343262</v>
      </c>
      <c r="I10" s="9">
        <v>1.6606051921844482</v>
      </c>
      <c r="J10" s="9">
        <v>0.72730106115341187</v>
      </c>
      <c r="K10" s="10"/>
      <c r="L10" t="s">
        <v>108</v>
      </c>
      <c r="M10" s="1">
        <v>1</v>
      </c>
      <c r="N10" s="19">
        <f t="shared" ref="N10:N14" si="0">G10/AVERAGE(G$2:G$8)</f>
        <v>0.92892765355790596</v>
      </c>
      <c r="O10" s="19">
        <f t="shared" ref="O10:O14" si="1">D10/AVERAGE(D$2:D$8)</f>
        <v>0.9598566704719742</v>
      </c>
    </row>
    <row r="11" spans="1:15" ht="22" thickBot="1" x14ac:dyDescent="0.3">
      <c r="A11" s="16" t="s">
        <v>124</v>
      </c>
      <c r="B11" s="6" t="s">
        <v>21</v>
      </c>
      <c r="C11" s="7">
        <v>1.6576434373855591</v>
      </c>
      <c r="D11" s="8">
        <v>5.8460469245910645</v>
      </c>
      <c r="E11" s="8">
        <v>11.325429916381836</v>
      </c>
      <c r="F11" s="8">
        <v>1.622517466545105</v>
      </c>
      <c r="G11" s="8">
        <v>4.2235293388366699</v>
      </c>
      <c r="H11" s="8">
        <v>5.4793829917907715</v>
      </c>
      <c r="I11" s="9">
        <v>1.9372800588607788</v>
      </c>
      <c r="J11" s="9">
        <v>0.72245901823043823</v>
      </c>
      <c r="K11" s="10"/>
      <c r="L11" t="s">
        <v>108</v>
      </c>
      <c r="M11" s="1">
        <v>1</v>
      </c>
      <c r="N11" s="19">
        <f t="shared" si="0"/>
        <v>0.95321844482414653</v>
      </c>
      <c r="O11" s="19">
        <f t="shared" si="1"/>
        <v>0.99155759441925617</v>
      </c>
    </row>
    <row r="12" spans="1:15" ht="22" thickBot="1" x14ac:dyDescent="0.3">
      <c r="A12" s="16" t="s">
        <v>124</v>
      </c>
      <c r="B12" s="6" t="s">
        <v>22</v>
      </c>
      <c r="C12" s="7">
        <v>1.4864174127578735</v>
      </c>
      <c r="D12" s="8">
        <v>6.0118951797485352</v>
      </c>
      <c r="E12" s="8">
        <v>11.316096305847168</v>
      </c>
      <c r="F12" s="8">
        <v>1.6409904956817627</v>
      </c>
      <c r="G12" s="8">
        <v>4.3709049224853516</v>
      </c>
      <c r="H12" s="8">
        <v>5.3042011260986328</v>
      </c>
      <c r="I12" s="9">
        <v>1.88228440284729</v>
      </c>
      <c r="J12" s="9">
        <v>0.7270427942276001</v>
      </c>
      <c r="K12" s="10"/>
      <c r="L12" t="s">
        <v>108</v>
      </c>
      <c r="M12" s="1">
        <v>1</v>
      </c>
      <c r="N12" s="19">
        <f t="shared" si="0"/>
        <v>0.9864799930177105</v>
      </c>
      <c r="O12" s="19">
        <f t="shared" si="1"/>
        <v>1.0196873886278572</v>
      </c>
    </row>
    <row r="13" spans="1:15" ht="22" thickBot="1" x14ac:dyDescent="0.3">
      <c r="A13" s="16" t="s">
        <v>124</v>
      </c>
      <c r="B13" s="6" t="s">
        <v>23</v>
      </c>
      <c r="C13" s="7">
        <v>1.6474500894546509</v>
      </c>
      <c r="D13" s="8">
        <v>6.0219697952270508</v>
      </c>
      <c r="E13" s="8">
        <v>11.138075828552246</v>
      </c>
      <c r="F13" s="8">
        <v>1.4939792156219482</v>
      </c>
      <c r="G13" s="8">
        <v>4.5279903411865234</v>
      </c>
      <c r="H13" s="8">
        <v>5.1161060333251953</v>
      </c>
      <c r="I13" s="9">
        <v>1.8495734930038452</v>
      </c>
      <c r="J13" s="9">
        <v>0.75191181898117065</v>
      </c>
      <c r="K13" s="10"/>
      <c r="L13" t="s">
        <v>108</v>
      </c>
      <c r="M13" s="1">
        <v>1</v>
      </c>
      <c r="N13" s="19">
        <f t="shared" si="0"/>
        <v>1.0219329771232084</v>
      </c>
      <c r="O13" s="19">
        <f t="shared" si="1"/>
        <v>1.0213961606608966</v>
      </c>
    </row>
    <row r="14" spans="1:15" ht="22" thickBot="1" x14ac:dyDescent="0.3">
      <c r="A14" s="16" t="s">
        <v>124</v>
      </c>
      <c r="B14" s="6" t="s">
        <v>24</v>
      </c>
      <c r="C14" s="7">
        <v>1.3910136222839355</v>
      </c>
      <c r="D14" s="8">
        <v>6.0245180130004883</v>
      </c>
      <c r="E14" s="8">
        <v>10.460959434509277</v>
      </c>
      <c r="F14" s="8">
        <v>1.5428324937820435</v>
      </c>
      <c r="G14" s="8">
        <v>4.4816856384277344</v>
      </c>
      <c r="H14" s="8">
        <v>4.4364414215087891</v>
      </c>
      <c r="I14" s="9">
        <v>1.7363977432250977</v>
      </c>
      <c r="J14" s="9">
        <v>0.74390774965286255</v>
      </c>
      <c r="K14" s="10"/>
      <c r="L14" t="s">
        <v>108</v>
      </c>
      <c r="M14" s="1">
        <v>1</v>
      </c>
      <c r="N14" s="19">
        <f t="shared" si="0"/>
        <v>1.0114823579346757</v>
      </c>
      <c r="O14" s="19">
        <f t="shared" si="1"/>
        <v>1.0218283680513056</v>
      </c>
    </row>
    <row r="15" spans="1:15" ht="22" thickBot="1" x14ac:dyDescent="0.3">
      <c r="A15" s="16" t="s">
        <v>124</v>
      </c>
      <c r="B15" s="11" t="s">
        <v>25</v>
      </c>
      <c r="C15" s="12">
        <v>1.4706591367721558</v>
      </c>
      <c r="D15" s="13">
        <v>5.6783566474914551</v>
      </c>
      <c r="E15" s="13">
        <v>10.064430236816406</v>
      </c>
      <c r="F15" s="13">
        <v>1.5467413663864136</v>
      </c>
      <c r="G15" s="13">
        <v>4.131615161895752</v>
      </c>
      <c r="H15" s="13">
        <v>4.3860735893249512</v>
      </c>
      <c r="I15" s="14">
        <v>1.7724195718765259</v>
      </c>
      <c r="J15" s="14">
        <v>0.72760754823684692</v>
      </c>
      <c r="K15" s="15"/>
      <c r="L15" t="s">
        <v>108</v>
      </c>
      <c r="M15" s="1">
        <v>1</v>
      </c>
      <c r="N15" s="19">
        <f>G15/AVERAGE(G$2:G$8)</f>
        <v>0.93247411424846594</v>
      </c>
      <c r="O15" s="19">
        <f>D15/AVERAGE(D$2:D$8)</f>
        <v>0.96311537185190677</v>
      </c>
    </row>
    <row r="16" spans="1:15" ht="23" thickBot="1" x14ac:dyDescent="0.3">
      <c r="A16" s="17" t="s">
        <v>26</v>
      </c>
      <c r="B16" s="6" t="s">
        <v>27</v>
      </c>
      <c r="C16" s="7">
        <v>1.7614802122116089</v>
      </c>
      <c r="D16" s="8">
        <v>6.4980897903442383</v>
      </c>
      <c r="E16" s="8">
        <v>11.954647064208984</v>
      </c>
      <c r="F16" s="8">
        <v>1.4974943399429321</v>
      </c>
      <c r="G16" s="8">
        <v>5.0005955696105957</v>
      </c>
      <c r="H16" s="8">
        <v>5.4565572738647461</v>
      </c>
      <c r="I16" s="9">
        <v>1.8397171497344971</v>
      </c>
      <c r="J16" s="9">
        <v>0.76954853534698486</v>
      </c>
      <c r="K16" s="10"/>
      <c r="L16" t="s">
        <v>108</v>
      </c>
      <c r="M16" s="1">
        <v>0</v>
      </c>
      <c r="N16">
        <v>0</v>
      </c>
      <c r="O16">
        <v>0</v>
      </c>
    </row>
    <row r="17" spans="1:15" ht="23" thickBot="1" x14ac:dyDescent="0.3">
      <c r="A17" s="17" t="s">
        <v>26</v>
      </c>
      <c r="B17" s="6" t="s">
        <v>28</v>
      </c>
      <c r="C17" s="7">
        <v>1.2179032564163208</v>
      </c>
      <c r="D17" s="8">
        <v>5.799717903137207</v>
      </c>
      <c r="E17" s="8">
        <v>7.8189740180969238</v>
      </c>
      <c r="F17" s="8">
        <v>1.0591995716094971</v>
      </c>
      <c r="G17" s="8">
        <v>4.7405185699462891</v>
      </c>
      <c r="H17" s="8">
        <v>2.0192561149597168</v>
      </c>
      <c r="I17" s="9">
        <v>1.3481645584106445</v>
      </c>
      <c r="J17" s="9">
        <v>0.81737053394317627</v>
      </c>
      <c r="K17" s="10"/>
      <c r="L17" t="s">
        <v>108</v>
      </c>
      <c r="M17" s="1">
        <v>0</v>
      </c>
      <c r="N17">
        <v>0</v>
      </c>
      <c r="O17">
        <v>0</v>
      </c>
    </row>
    <row r="18" spans="1:15" ht="23" thickBot="1" x14ac:dyDescent="0.3">
      <c r="A18" s="17" t="s">
        <v>26</v>
      </c>
      <c r="B18" s="6" t="s">
        <v>29</v>
      </c>
      <c r="C18" s="7">
        <v>0.93815380334854126</v>
      </c>
      <c r="D18" s="8">
        <v>5.0986771583557129</v>
      </c>
      <c r="E18" s="8">
        <v>8.4719295501708984</v>
      </c>
      <c r="F18" s="8">
        <v>0.76613539457321167</v>
      </c>
      <c r="G18" s="8">
        <v>4.3325419425964355</v>
      </c>
      <c r="H18" s="8">
        <v>3.3732523918151855</v>
      </c>
      <c r="I18" s="9">
        <v>1.6615936756134033</v>
      </c>
      <c r="J18" s="9">
        <v>0.84973841905593872</v>
      </c>
      <c r="K18" s="10"/>
      <c r="L18" t="s">
        <v>108</v>
      </c>
      <c r="M18" s="1">
        <v>0</v>
      </c>
      <c r="N18">
        <v>0</v>
      </c>
      <c r="O18">
        <v>0</v>
      </c>
    </row>
    <row r="19" spans="1:15" ht="23" thickBot="1" x14ac:dyDescent="0.3">
      <c r="A19" s="17" t="s">
        <v>26</v>
      </c>
      <c r="B19" s="11" t="s">
        <v>30</v>
      </c>
      <c r="C19" s="12">
        <v>1.154982328414917</v>
      </c>
      <c r="D19" s="13">
        <v>5.7561302185058594</v>
      </c>
      <c r="E19" s="13">
        <v>8.9647836685180664</v>
      </c>
      <c r="F19" s="13">
        <v>1.190423846244812</v>
      </c>
      <c r="G19" s="13">
        <v>4.5657062530517578</v>
      </c>
      <c r="H19" s="13">
        <v>3.208653450012207</v>
      </c>
      <c r="I19" s="14">
        <v>1.5574324131011963</v>
      </c>
      <c r="J19" s="14">
        <v>0.79319024085998535</v>
      </c>
      <c r="K19" s="15"/>
      <c r="L19" t="s">
        <v>108</v>
      </c>
      <c r="M19" s="1">
        <v>0</v>
      </c>
      <c r="N19">
        <v>0</v>
      </c>
      <c r="O19">
        <v>0</v>
      </c>
    </row>
    <row r="20" spans="1:15" ht="23" thickBot="1" x14ac:dyDescent="0.3">
      <c r="A20" s="17" t="s">
        <v>123</v>
      </c>
      <c r="B20" s="6" t="s">
        <v>31</v>
      </c>
      <c r="C20" s="7">
        <v>1.2011580467224121</v>
      </c>
      <c r="D20" s="8">
        <v>5.688260555267334</v>
      </c>
      <c r="E20" s="8">
        <v>7.4319233894348145</v>
      </c>
      <c r="F20" s="8">
        <v>1.0525472164154053</v>
      </c>
      <c r="G20" s="8">
        <v>4.6357135772705078</v>
      </c>
      <c r="H20" s="8">
        <v>1.7436628341674805</v>
      </c>
      <c r="I20" s="9">
        <v>1.3065370321273804</v>
      </c>
      <c r="J20" s="9">
        <v>0.81496155261993408</v>
      </c>
      <c r="K20" s="10"/>
      <c r="L20" t="s">
        <v>108</v>
      </c>
      <c r="M20" s="1">
        <v>1</v>
      </c>
      <c r="N20" s="19">
        <f>G20/AVERAGE(G$16:G$19)</f>
        <v>0.99482235366277705</v>
      </c>
      <c r="O20" s="19">
        <f>D20/AVERAGE(D$16:D$19)</f>
        <v>0.98274178324739181</v>
      </c>
    </row>
    <row r="21" spans="1:15" ht="23" thickBot="1" x14ac:dyDescent="0.3">
      <c r="A21" s="17" t="s">
        <v>123</v>
      </c>
      <c r="B21" s="6" t="s">
        <v>32</v>
      </c>
      <c r="C21" s="7">
        <v>1.2170379161834717</v>
      </c>
      <c r="D21" s="8">
        <v>5.6176748275756836</v>
      </c>
      <c r="E21" s="8">
        <v>5.7578639984130859</v>
      </c>
      <c r="F21" s="8">
        <v>1.050683856010437</v>
      </c>
      <c r="G21" s="8">
        <v>4.566990852355957</v>
      </c>
      <c r="H21" s="8">
        <v>0.14018917083740234</v>
      </c>
      <c r="I21" s="9">
        <v>1.0249550342559814</v>
      </c>
      <c r="J21" s="9">
        <v>0.81296819448471069</v>
      </c>
      <c r="K21" s="10"/>
      <c r="L21" t="s">
        <v>108</v>
      </c>
      <c r="M21" s="1">
        <v>1</v>
      </c>
      <c r="N21" s="19">
        <f t="shared" ref="N21:N22" si="2">G21/AVERAGE(G$16:G$19)</f>
        <v>0.9800744832842393</v>
      </c>
      <c r="O21" s="19">
        <f>D21/AVERAGE(D$16:D$19)</f>
        <v>0.97054692275717169</v>
      </c>
    </row>
    <row r="22" spans="1:15" ht="23" thickBot="1" x14ac:dyDescent="0.3">
      <c r="A22" s="17" t="s">
        <v>123</v>
      </c>
      <c r="B22" s="6" t="s">
        <v>33</v>
      </c>
      <c r="C22" s="7">
        <v>1.3567972183227539</v>
      </c>
      <c r="D22" s="8">
        <v>5.9529581069946289</v>
      </c>
      <c r="E22" s="8">
        <v>10.621549606323242</v>
      </c>
      <c r="F22" s="8">
        <v>1.3857623338699341</v>
      </c>
      <c r="G22" s="8">
        <v>4.5671958923339844</v>
      </c>
      <c r="H22" s="8">
        <v>4.6685914993286133</v>
      </c>
      <c r="I22" s="9">
        <v>1.7842472791671753</v>
      </c>
      <c r="J22" s="9">
        <v>0.76721453666687012</v>
      </c>
      <c r="K22" s="10"/>
      <c r="L22" t="s">
        <v>108</v>
      </c>
      <c r="M22" s="1">
        <v>1</v>
      </c>
      <c r="N22" s="19">
        <f t="shared" si="2"/>
        <v>0.9801184847847928</v>
      </c>
      <c r="O22" s="19">
        <f t="shared" ref="O22" si="3">D22/AVERAGE(D$16:D$19)</f>
        <v>1.0284726954442356</v>
      </c>
    </row>
    <row r="23" spans="1:15" ht="23" thickBot="1" x14ac:dyDescent="0.3">
      <c r="A23" s="17" t="s">
        <v>123</v>
      </c>
      <c r="B23" s="11" t="s">
        <v>34</v>
      </c>
      <c r="C23" s="12">
        <v>1.4713468551635742</v>
      </c>
      <c r="D23" s="13">
        <v>5.8981971740722656</v>
      </c>
      <c r="E23" s="13">
        <v>11.010093688964844</v>
      </c>
      <c r="F23" s="13">
        <v>1.595911979675293</v>
      </c>
      <c r="G23" s="13">
        <v>4.3022851943969727</v>
      </c>
      <c r="H23" s="13">
        <v>5.1118965148925781</v>
      </c>
      <c r="I23" s="14">
        <v>1.8666880130767822</v>
      </c>
      <c r="J23" s="14">
        <v>0.72942376136779785</v>
      </c>
      <c r="K23" s="15"/>
      <c r="L23" t="s">
        <v>108</v>
      </c>
      <c r="M23" s="1">
        <v>1</v>
      </c>
      <c r="N23" s="19">
        <f>G23/AVERAGE(G$16:G$19)</f>
        <v>0.92326875072781556</v>
      </c>
      <c r="O23" s="19">
        <f>D23/AVERAGE(D$16:D$19)</f>
        <v>1.019011831907916</v>
      </c>
    </row>
    <row r="24" spans="1:15" ht="19" customHeight="1" thickBot="1" x14ac:dyDescent="0.3">
      <c r="A24" s="17" t="s">
        <v>35</v>
      </c>
      <c r="B24" s="6" t="s">
        <v>36</v>
      </c>
      <c r="C24" s="7">
        <v>1.1769800186157227</v>
      </c>
      <c r="D24" s="8">
        <v>4.3207082748413086</v>
      </c>
      <c r="E24" s="8">
        <v>7.8298239707946777</v>
      </c>
      <c r="F24" s="8">
        <v>0.44719469547271729</v>
      </c>
      <c r="G24" s="8">
        <v>3.8735136985778809</v>
      </c>
      <c r="H24" s="8">
        <v>3.5091156959533691</v>
      </c>
      <c r="I24" s="9">
        <v>1.8121621608734131</v>
      </c>
      <c r="J24" s="9">
        <v>0.89649969339370728</v>
      </c>
      <c r="K24" s="10"/>
      <c r="L24" t="s">
        <v>108</v>
      </c>
      <c r="M24" s="1">
        <v>0</v>
      </c>
      <c r="N24">
        <v>0</v>
      </c>
      <c r="O24">
        <v>0</v>
      </c>
    </row>
    <row r="25" spans="1:15" ht="23" thickBot="1" x14ac:dyDescent="0.3">
      <c r="A25" s="17" t="s">
        <v>35</v>
      </c>
      <c r="B25" s="6" t="s">
        <v>37</v>
      </c>
      <c r="C25" s="7">
        <v>0.98799920082092285</v>
      </c>
      <c r="D25" s="8">
        <v>4.1774053573608398</v>
      </c>
      <c r="E25" s="8">
        <v>7.4570250511169434</v>
      </c>
      <c r="F25" s="8">
        <v>0.59186792373657227</v>
      </c>
      <c r="G25" s="8">
        <v>3.5855374336242676</v>
      </c>
      <c r="H25" s="8">
        <v>3.2796196937561035</v>
      </c>
      <c r="I25" s="9">
        <v>1.7850853204727173</v>
      </c>
      <c r="J25" s="9">
        <v>0.85831683874130249</v>
      </c>
      <c r="K25" s="10"/>
      <c r="L25" t="s">
        <v>108</v>
      </c>
      <c r="M25" s="1">
        <v>0</v>
      </c>
      <c r="N25">
        <v>0</v>
      </c>
      <c r="O25">
        <v>0</v>
      </c>
    </row>
    <row r="26" spans="1:15" ht="23" thickBot="1" x14ac:dyDescent="0.3">
      <c r="A26" s="17" t="s">
        <v>35</v>
      </c>
      <c r="B26" s="6" t="s">
        <v>38</v>
      </c>
      <c r="C26" s="7">
        <v>1.0530579090118408</v>
      </c>
      <c r="D26" s="8">
        <v>4.2467837333679199</v>
      </c>
      <c r="E26" s="8">
        <v>8.8210592269897461</v>
      </c>
      <c r="F26" s="8">
        <v>0.62495160102844238</v>
      </c>
      <c r="G26" s="8">
        <v>3.6218321323394775</v>
      </c>
      <c r="H26" s="8">
        <v>4.5742754936218262</v>
      </c>
      <c r="I26" s="9">
        <v>2.0771152973175049</v>
      </c>
      <c r="J26" s="9">
        <v>0.85284119844436646</v>
      </c>
      <c r="K26" s="10"/>
      <c r="L26" t="s">
        <v>108</v>
      </c>
      <c r="M26" s="1">
        <v>0</v>
      </c>
      <c r="N26">
        <v>0</v>
      </c>
      <c r="O26">
        <v>0</v>
      </c>
    </row>
    <row r="27" spans="1:15" ht="23" thickBot="1" x14ac:dyDescent="0.3">
      <c r="A27" s="17" t="s">
        <v>35</v>
      </c>
      <c r="B27" s="6" t="s">
        <v>39</v>
      </c>
      <c r="C27" s="7">
        <v>0.90678435564041138</v>
      </c>
      <c r="D27" s="8">
        <v>4.1676626205444336</v>
      </c>
      <c r="E27" s="8">
        <v>6.2646346092224121</v>
      </c>
      <c r="F27" s="8">
        <v>0.6250004768371582</v>
      </c>
      <c r="G27" s="8">
        <v>3.5426621437072754</v>
      </c>
      <c r="H27" s="8">
        <v>2.0969719886779785</v>
      </c>
      <c r="I27" s="9">
        <v>1.5031529664993286</v>
      </c>
      <c r="J27" s="9">
        <v>0.85003572702407837</v>
      </c>
      <c r="K27" s="10"/>
      <c r="L27" t="s">
        <v>108</v>
      </c>
      <c r="M27" s="1">
        <v>0</v>
      </c>
      <c r="N27">
        <v>0</v>
      </c>
      <c r="O27">
        <v>0</v>
      </c>
    </row>
    <row r="28" spans="1:15" ht="23" thickBot="1" x14ac:dyDescent="0.3">
      <c r="A28" s="17" t="s">
        <v>35</v>
      </c>
      <c r="B28" s="11" t="s">
        <v>40</v>
      </c>
      <c r="C28" s="12">
        <v>0.86400705575942993</v>
      </c>
      <c r="D28" s="13">
        <v>4.0819644927978516</v>
      </c>
      <c r="E28" s="13">
        <v>6.9087443351745605</v>
      </c>
      <c r="F28" s="13">
        <v>0.58024430274963379</v>
      </c>
      <c r="G28" s="13">
        <v>3.5017201900482178</v>
      </c>
      <c r="H28" s="13">
        <v>2.826779842376709</v>
      </c>
      <c r="I28" s="14">
        <v>1.6925047636032104</v>
      </c>
      <c r="J28" s="14">
        <v>0.85785168409347534</v>
      </c>
      <c r="K28" s="15"/>
      <c r="L28" t="s">
        <v>108</v>
      </c>
      <c r="M28" s="1">
        <v>0</v>
      </c>
      <c r="N28">
        <v>0</v>
      </c>
      <c r="O28">
        <v>0</v>
      </c>
    </row>
    <row r="29" spans="1:15" ht="19" customHeight="1" thickBot="1" x14ac:dyDescent="0.3">
      <c r="A29" s="17" t="s">
        <v>110</v>
      </c>
      <c r="B29" s="6" t="s">
        <v>41</v>
      </c>
      <c r="C29" s="7">
        <v>1.0514588356018066</v>
      </c>
      <c r="D29" s="8">
        <v>3.6897907257080078</v>
      </c>
      <c r="E29" s="8">
        <v>7.7009048461914062</v>
      </c>
      <c r="F29" s="8">
        <v>0.58204072713851929</v>
      </c>
      <c r="G29" s="8">
        <v>3.1077499389648438</v>
      </c>
      <c r="H29" s="8">
        <v>4.0111141204833984</v>
      </c>
      <c r="I29" s="9">
        <v>2.0870845317840576</v>
      </c>
      <c r="J29" s="9">
        <v>0.84225642681121826</v>
      </c>
      <c r="K29" s="10"/>
      <c r="L29" t="s">
        <v>108</v>
      </c>
      <c r="M29" s="1">
        <v>1</v>
      </c>
      <c r="N29" s="19">
        <f>G29/AVERAGE(G$24:G$28)</f>
        <v>0.85729776540676428</v>
      </c>
      <c r="O29" s="19">
        <f>D29/AVERAGE(D$24:D$28)</f>
        <v>0.87875072603196236</v>
      </c>
    </row>
    <row r="30" spans="1:15" ht="23" thickBot="1" x14ac:dyDescent="0.3">
      <c r="A30" s="17" t="s">
        <v>110</v>
      </c>
      <c r="B30" s="6" t="s">
        <v>42</v>
      </c>
      <c r="C30" s="7">
        <v>1.0343186855316162</v>
      </c>
      <c r="D30" s="8">
        <v>2.9263005256652832</v>
      </c>
      <c r="E30" s="8">
        <v>6.2654013633728027</v>
      </c>
      <c r="F30" s="8">
        <v>0.6399570107460022</v>
      </c>
      <c r="G30" s="8">
        <v>2.2863435745239258</v>
      </c>
      <c r="H30" s="8">
        <v>3.3391008377075195</v>
      </c>
      <c r="I30" s="9">
        <v>2.1410655975341797</v>
      </c>
      <c r="J30" s="9">
        <v>0.78130853176116943</v>
      </c>
      <c r="K30" s="10"/>
      <c r="L30" t="s">
        <v>108</v>
      </c>
      <c r="M30" s="1">
        <v>1</v>
      </c>
      <c r="N30" s="19">
        <f t="shared" ref="N30:N32" si="4">G30/AVERAGE(G$24:G$28)</f>
        <v>0.63070622665488807</v>
      </c>
      <c r="O30" s="19">
        <f>D30/AVERAGE(D$24:D$28)</f>
        <v>0.69691993467262459</v>
      </c>
    </row>
    <row r="31" spans="1:15" ht="23" thickBot="1" x14ac:dyDescent="0.3">
      <c r="A31" s="17" t="s">
        <v>110</v>
      </c>
      <c r="B31" s="6" t="s">
        <v>43</v>
      </c>
      <c r="C31" s="7">
        <v>0.98630118370056152</v>
      </c>
      <c r="D31" s="8">
        <v>3.722691535949707</v>
      </c>
      <c r="E31" s="8">
        <v>7.038123607635498</v>
      </c>
      <c r="F31" s="8">
        <v>0.53565311431884766</v>
      </c>
      <c r="G31" s="8">
        <v>3.1870384216308594</v>
      </c>
      <c r="H31" s="8">
        <v>3.315432071685791</v>
      </c>
      <c r="I31" s="9">
        <v>1.8906008005142212</v>
      </c>
      <c r="J31" s="9">
        <v>0.85611134767532349</v>
      </c>
      <c r="K31" s="10"/>
      <c r="L31" t="s">
        <v>108</v>
      </c>
      <c r="M31" s="1">
        <v>1</v>
      </c>
      <c r="N31" s="19">
        <f t="shared" si="4"/>
        <v>0.87917012976910081</v>
      </c>
      <c r="O31" s="19">
        <f t="shared" ref="O31:O32" si="5">D31/AVERAGE(D$24:D$28)</f>
        <v>0.88658629531926536</v>
      </c>
    </row>
    <row r="32" spans="1:15" ht="23" thickBot="1" x14ac:dyDescent="0.3">
      <c r="A32" s="17" t="s">
        <v>110</v>
      </c>
      <c r="B32" s="6" t="s">
        <v>44</v>
      </c>
      <c r="C32" s="7">
        <v>0.98692190647125244</v>
      </c>
      <c r="D32" s="8">
        <v>3.8730502128601074</v>
      </c>
      <c r="E32" s="8">
        <v>7.88494873046875</v>
      </c>
      <c r="F32" s="8">
        <v>0.55756014585494995</v>
      </c>
      <c r="G32" s="8">
        <v>3.3154900074005127</v>
      </c>
      <c r="H32" s="8">
        <v>4.0118985176086426</v>
      </c>
      <c r="I32" s="9">
        <v>2.0358498096466064</v>
      </c>
      <c r="J32" s="9">
        <v>0.8560410737991333</v>
      </c>
      <c r="K32" s="10"/>
      <c r="L32" t="s">
        <v>108</v>
      </c>
      <c r="M32" s="1">
        <v>1</v>
      </c>
      <c r="N32" s="19">
        <f t="shared" si="4"/>
        <v>0.91460453073636749</v>
      </c>
      <c r="O32" s="19">
        <f t="shared" si="5"/>
        <v>0.92239531711002465</v>
      </c>
    </row>
    <row r="33" spans="1:15" ht="23" thickBot="1" x14ac:dyDescent="0.3">
      <c r="A33" s="17" t="s">
        <v>110</v>
      </c>
      <c r="B33" s="11" t="s">
        <v>45</v>
      </c>
      <c r="C33" s="12">
        <v>1.0812747478485107</v>
      </c>
      <c r="D33" s="13">
        <v>3.2249786853790283</v>
      </c>
      <c r="E33" s="13">
        <v>6.4647021293640137</v>
      </c>
      <c r="F33" s="13">
        <v>0.65087407827377319</v>
      </c>
      <c r="G33" s="13">
        <v>2.5741045475006104</v>
      </c>
      <c r="H33" s="13">
        <v>3.2397234439849854</v>
      </c>
      <c r="I33" s="14">
        <v>2.0045721530914307</v>
      </c>
      <c r="J33" s="14">
        <v>0.79817724227905273</v>
      </c>
      <c r="K33" s="15"/>
      <c r="L33" t="s">
        <v>109</v>
      </c>
      <c r="M33" s="1">
        <v>1</v>
      </c>
      <c r="N33" s="19">
        <f>G33/AVERAGE(G$24:G$28)</f>
        <v>0.71008740079992239</v>
      </c>
      <c r="O33" s="19">
        <f>D33/AVERAGE(D$24:D$28)</f>
        <v>0.76805232922000954</v>
      </c>
    </row>
    <row r="34" spans="1:15" ht="19" customHeight="1" thickBot="1" x14ac:dyDescent="0.3">
      <c r="A34" s="17" t="s">
        <v>111</v>
      </c>
      <c r="B34" s="6" t="s">
        <v>46</v>
      </c>
      <c r="C34" s="7">
        <v>1.2424361705780029</v>
      </c>
      <c r="D34" s="8">
        <v>4.1175570487976074</v>
      </c>
      <c r="E34" s="8">
        <v>6.014399528503418</v>
      </c>
      <c r="F34" s="8">
        <v>0.74019920825958252</v>
      </c>
      <c r="G34" s="8">
        <v>3.3773579597473145</v>
      </c>
      <c r="H34" s="8">
        <v>1.8968424797058105</v>
      </c>
      <c r="I34" s="9">
        <v>1.4606717824935913</v>
      </c>
      <c r="J34" s="9">
        <v>0.82023346424102783</v>
      </c>
      <c r="K34" s="10"/>
      <c r="L34" t="s">
        <v>108</v>
      </c>
      <c r="M34" s="1">
        <v>0</v>
      </c>
      <c r="N34">
        <v>0</v>
      </c>
      <c r="O34">
        <v>0</v>
      </c>
    </row>
    <row r="35" spans="1:15" ht="23" thickBot="1" x14ac:dyDescent="0.3">
      <c r="A35" s="17" t="s">
        <v>111</v>
      </c>
      <c r="B35" s="6" t="s">
        <v>47</v>
      </c>
      <c r="C35" s="7">
        <v>0.90566694736480713</v>
      </c>
      <c r="D35" s="8">
        <v>3.8799562454223633</v>
      </c>
      <c r="E35" s="8">
        <v>5.4355368614196777</v>
      </c>
      <c r="F35" s="8">
        <v>0.72611236572265625</v>
      </c>
      <c r="G35" s="8">
        <v>3.153843879699707</v>
      </c>
      <c r="H35" s="8">
        <v>1.5555806159973145</v>
      </c>
      <c r="I35" s="9">
        <v>1.4009273052215576</v>
      </c>
      <c r="J35" s="9">
        <v>0.81285554170608521</v>
      </c>
      <c r="K35" s="10"/>
      <c r="L35" t="s">
        <v>108</v>
      </c>
      <c r="M35" s="1">
        <v>0</v>
      </c>
      <c r="N35">
        <v>0</v>
      </c>
      <c r="O35">
        <v>0</v>
      </c>
    </row>
    <row r="36" spans="1:15" ht="23" thickBot="1" x14ac:dyDescent="0.3">
      <c r="A36" s="17" t="s">
        <v>111</v>
      </c>
      <c r="B36" s="6" t="s">
        <v>48</v>
      </c>
      <c r="C36" s="7">
        <v>0.74164247512817383</v>
      </c>
      <c r="D36" s="8">
        <v>3.7344875335693359</v>
      </c>
      <c r="E36" s="8">
        <v>5.8478798866271973</v>
      </c>
      <c r="F36" s="8">
        <v>0.64840239286422729</v>
      </c>
      <c r="G36" s="8">
        <v>3.0860850811004639</v>
      </c>
      <c r="H36" s="8">
        <v>2.1133923530578613</v>
      </c>
      <c r="I36" s="9">
        <v>1.5659122467041016</v>
      </c>
      <c r="J36" s="9">
        <v>0.82637447118759155</v>
      </c>
      <c r="K36" s="10"/>
      <c r="L36" t="s">
        <v>108</v>
      </c>
      <c r="M36" s="1">
        <v>0</v>
      </c>
      <c r="N36">
        <v>0</v>
      </c>
      <c r="O36">
        <v>0</v>
      </c>
    </row>
    <row r="37" spans="1:15" ht="23" thickBot="1" x14ac:dyDescent="0.3">
      <c r="A37" s="17" t="s">
        <v>111</v>
      </c>
      <c r="B37" s="11" t="s">
        <v>49</v>
      </c>
      <c r="C37" s="12">
        <v>0.80611103773117065</v>
      </c>
      <c r="D37" s="13">
        <v>3.8208365440368652</v>
      </c>
      <c r="E37" s="13">
        <v>5.9583020210266113</v>
      </c>
      <c r="F37" s="13">
        <v>0.72501844167709351</v>
      </c>
      <c r="G37" s="13">
        <v>3.095818042755127</v>
      </c>
      <c r="H37" s="13">
        <v>2.1374654769897461</v>
      </c>
      <c r="I37" s="14">
        <v>1.5594234466552734</v>
      </c>
      <c r="J37" s="14">
        <v>0.81024610996246338</v>
      </c>
      <c r="K37" s="15"/>
      <c r="L37" t="s">
        <v>108</v>
      </c>
      <c r="M37" s="1">
        <v>0</v>
      </c>
      <c r="N37">
        <v>0</v>
      </c>
      <c r="O37">
        <v>0</v>
      </c>
    </row>
    <row r="38" spans="1:15" ht="19" customHeight="1" thickBot="1" x14ac:dyDescent="0.3">
      <c r="A38" s="17" t="s">
        <v>112</v>
      </c>
      <c r="B38" s="6" t="s">
        <v>50</v>
      </c>
      <c r="C38" s="7">
        <v>0.76364392042160034</v>
      </c>
      <c r="D38" s="8">
        <v>3.5098495483398438</v>
      </c>
      <c r="E38" s="8">
        <v>5.6890625953674316</v>
      </c>
      <c r="F38" s="8">
        <v>0.62339133024215698</v>
      </c>
      <c r="G38" s="8">
        <v>2.886458158493042</v>
      </c>
      <c r="H38" s="8">
        <v>2.1792130470275879</v>
      </c>
      <c r="I38" s="9">
        <v>1.6208850145339966</v>
      </c>
      <c r="J38" s="9">
        <v>0.82238799333572388</v>
      </c>
      <c r="K38" s="10"/>
      <c r="L38" t="s">
        <v>108</v>
      </c>
      <c r="M38" s="1">
        <v>1</v>
      </c>
      <c r="N38" s="19">
        <f>G38/AVERAGE(G$34:G$37)</f>
        <v>0.90818353716893951</v>
      </c>
      <c r="O38" s="19">
        <f>D38/AVERAGE(D$34:D$37)</f>
        <v>0.90269047748108144</v>
      </c>
    </row>
    <row r="39" spans="1:15" ht="23" thickBot="1" x14ac:dyDescent="0.3">
      <c r="A39" s="17" t="s">
        <v>112</v>
      </c>
      <c r="B39" s="6" t="s">
        <v>51</v>
      </c>
      <c r="C39" s="7">
        <v>0.76580154895782471</v>
      </c>
      <c r="D39" s="8">
        <v>3.2497069835662842</v>
      </c>
      <c r="E39" s="8">
        <v>5.7507367134094238</v>
      </c>
      <c r="F39" s="8">
        <v>0.55567139387130737</v>
      </c>
      <c r="G39" s="8">
        <v>2.694035530090332</v>
      </c>
      <c r="H39" s="8">
        <v>2.5010297298431396</v>
      </c>
      <c r="I39" s="9">
        <v>1.769616961479187</v>
      </c>
      <c r="J39" s="9">
        <v>0.82900875806808472</v>
      </c>
      <c r="K39" s="10"/>
      <c r="L39" t="s">
        <v>108</v>
      </c>
      <c r="M39" s="1">
        <v>1</v>
      </c>
      <c r="N39" s="19">
        <f t="shared" ref="N39:N40" si="6">G39/AVERAGE(G$34:G$37)</f>
        <v>0.84764045852429593</v>
      </c>
      <c r="O39" s="19">
        <f t="shared" ref="O39:O40" si="7">D39/AVERAGE(D$34:D$37)</f>
        <v>0.83578498401921175</v>
      </c>
    </row>
    <row r="40" spans="1:15" ht="23" thickBot="1" x14ac:dyDescent="0.3">
      <c r="A40" s="17" t="s">
        <v>112</v>
      </c>
      <c r="B40" s="6" t="s">
        <v>52</v>
      </c>
      <c r="C40" s="7">
        <v>0.86756187677383423</v>
      </c>
      <c r="D40" s="8">
        <v>3.8506457805633545</v>
      </c>
      <c r="E40" s="8">
        <v>6.3365397453308105</v>
      </c>
      <c r="F40" s="8">
        <v>0.68977081775665283</v>
      </c>
      <c r="G40" s="8">
        <v>3.1608748435974121</v>
      </c>
      <c r="H40" s="8">
        <v>2.4858939647674561</v>
      </c>
      <c r="I40" s="9">
        <v>1.6455785036087036</v>
      </c>
      <c r="J40" s="9">
        <v>0.82086879014968872</v>
      </c>
      <c r="K40" s="10"/>
      <c r="L40" t="s">
        <v>108</v>
      </c>
      <c r="M40" s="1">
        <v>1</v>
      </c>
      <c r="N40" s="19">
        <f t="shared" si="6"/>
        <v>0.99452489465682181</v>
      </c>
      <c r="O40" s="19">
        <f t="shared" si="7"/>
        <v>0.9903391100941531</v>
      </c>
    </row>
    <row r="41" spans="1:15" ht="23" thickBot="1" x14ac:dyDescent="0.3">
      <c r="A41" s="17" t="s">
        <v>112</v>
      </c>
      <c r="B41" s="11" t="s">
        <v>53</v>
      </c>
      <c r="C41" s="12">
        <v>0.76191407442092896</v>
      </c>
      <c r="D41" s="13">
        <v>3.2821145057678223</v>
      </c>
      <c r="E41" s="13">
        <v>5.1789402961730957</v>
      </c>
      <c r="F41" s="13">
        <v>0.49196675419807434</v>
      </c>
      <c r="G41" s="13">
        <v>2.7901477813720703</v>
      </c>
      <c r="H41" s="13">
        <v>1.8968257904052734</v>
      </c>
      <c r="I41" s="14">
        <v>1.5779279470443726</v>
      </c>
      <c r="J41" s="14">
        <v>0.85010677576065063</v>
      </c>
      <c r="K41" s="15"/>
      <c r="L41" t="s">
        <v>108</v>
      </c>
      <c r="M41" s="1">
        <v>1</v>
      </c>
      <c r="N41" s="19">
        <f>G41/AVERAGE(G$34:G$37)</f>
        <v>0.87788082908968457</v>
      </c>
      <c r="O41" s="19">
        <f>D41/AVERAGE(D$34:D$37)</f>
        <v>0.84411980330054603</v>
      </c>
    </row>
    <row r="42" spans="1:15" ht="19" customHeight="1" thickBot="1" x14ac:dyDescent="0.3">
      <c r="A42" s="17" t="s">
        <v>54</v>
      </c>
      <c r="B42" s="6" t="s">
        <v>55</v>
      </c>
      <c r="C42" s="7">
        <v>1.055144190788269</v>
      </c>
      <c r="D42" s="8">
        <v>3.3526525497436523</v>
      </c>
      <c r="E42" s="8">
        <v>6.5291337966918945</v>
      </c>
      <c r="F42" s="8">
        <v>0.38563933968544006</v>
      </c>
      <c r="G42" s="8">
        <v>2.9670131206512451</v>
      </c>
      <c r="H42" s="8">
        <v>3.1764812469482422</v>
      </c>
      <c r="I42" s="9">
        <v>1.9474531412124634</v>
      </c>
      <c r="J42" s="9">
        <v>0.88497483730316162</v>
      </c>
      <c r="K42" s="10"/>
      <c r="L42" t="s">
        <v>108</v>
      </c>
      <c r="M42" s="1">
        <v>0</v>
      </c>
      <c r="N42">
        <v>0</v>
      </c>
      <c r="O42">
        <v>0</v>
      </c>
    </row>
    <row r="43" spans="1:15" ht="23" thickBot="1" x14ac:dyDescent="0.3">
      <c r="A43" s="17" t="s">
        <v>54</v>
      </c>
      <c r="B43" s="6" t="s">
        <v>56</v>
      </c>
      <c r="C43" s="7">
        <v>0.87306016683578491</v>
      </c>
      <c r="D43" s="8">
        <v>3.4781374931335449</v>
      </c>
      <c r="E43" s="8">
        <v>6.4161109924316406</v>
      </c>
      <c r="F43" s="8">
        <v>0.57388186454772949</v>
      </c>
      <c r="G43" s="8">
        <v>2.9042556285858154</v>
      </c>
      <c r="H43" s="8">
        <v>2.9379734992980957</v>
      </c>
      <c r="I43" s="9">
        <v>1.8446973562240601</v>
      </c>
      <c r="J43" s="9">
        <v>0.83500313758850098</v>
      </c>
      <c r="K43" s="10"/>
      <c r="L43" t="s">
        <v>108</v>
      </c>
      <c r="M43" s="1">
        <v>0</v>
      </c>
      <c r="N43">
        <v>0</v>
      </c>
      <c r="O43">
        <v>0</v>
      </c>
    </row>
    <row r="44" spans="1:15" ht="23" thickBot="1" x14ac:dyDescent="0.3">
      <c r="A44" s="17" t="s">
        <v>54</v>
      </c>
      <c r="B44" s="6" t="s">
        <v>57</v>
      </c>
      <c r="C44" s="7">
        <v>0.72148144245147705</v>
      </c>
      <c r="D44" s="8">
        <v>2.7045867443084717</v>
      </c>
      <c r="E44" s="8">
        <v>5.6586060523986816</v>
      </c>
      <c r="F44" s="8">
        <v>0.4030492901802063</v>
      </c>
      <c r="G44" s="8">
        <v>2.3015375137329102</v>
      </c>
      <c r="H44" s="8">
        <v>2.95401930809021</v>
      </c>
      <c r="I44" s="9">
        <v>2.0922257900238037</v>
      </c>
      <c r="J44" s="9">
        <v>0.85097569227218628</v>
      </c>
      <c r="K44" s="10"/>
      <c r="L44" t="s">
        <v>108</v>
      </c>
      <c r="M44" s="1">
        <v>0</v>
      </c>
      <c r="N44">
        <v>0</v>
      </c>
      <c r="O44">
        <v>0</v>
      </c>
    </row>
    <row r="45" spans="1:15" ht="23" thickBot="1" x14ac:dyDescent="0.3">
      <c r="A45" s="17" t="s">
        <v>54</v>
      </c>
      <c r="B45" s="6" t="s">
        <v>58</v>
      </c>
      <c r="C45" s="7">
        <v>0.78236442804336548</v>
      </c>
      <c r="D45" s="8">
        <v>2.8987751007080078</v>
      </c>
      <c r="E45" s="8">
        <v>5.6711807250976562</v>
      </c>
      <c r="F45" s="8">
        <v>0.43480148911476135</v>
      </c>
      <c r="G45" s="8">
        <v>2.4639735221862793</v>
      </c>
      <c r="H45" s="8">
        <v>2.7724056243896484</v>
      </c>
      <c r="I45" s="9">
        <v>1.9564058780670166</v>
      </c>
      <c r="J45" s="9">
        <v>0.85000509023666382</v>
      </c>
      <c r="K45" s="10"/>
      <c r="L45" t="s">
        <v>108</v>
      </c>
      <c r="M45" s="1">
        <v>0</v>
      </c>
      <c r="N45">
        <v>0</v>
      </c>
      <c r="O45">
        <v>0</v>
      </c>
    </row>
    <row r="46" spans="1:15" ht="23" thickBot="1" x14ac:dyDescent="0.3">
      <c r="A46" s="17" t="s">
        <v>54</v>
      </c>
      <c r="B46" s="11" t="s">
        <v>59</v>
      </c>
      <c r="C46" s="12">
        <v>0.79001259803771973</v>
      </c>
      <c r="D46" s="13">
        <v>3.0806455612182617</v>
      </c>
      <c r="E46" s="13">
        <v>5.8872060775756836</v>
      </c>
      <c r="F46" s="13">
        <v>0.51365387439727783</v>
      </c>
      <c r="G46" s="13">
        <v>2.5669918060302734</v>
      </c>
      <c r="H46" s="13">
        <v>2.8065605163574219</v>
      </c>
      <c r="I46" s="14">
        <v>1.9110300540924072</v>
      </c>
      <c r="J46" s="14">
        <v>0.83326423168182373</v>
      </c>
      <c r="K46" s="15"/>
      <c r="L46" t="s">
        <v>108</v>
      </c>
      <c r="M46" s="1">
        <v>0</v>
      </c>
      <c r="N46">
        <v>0</v>
      </c>
      <c r="O46">
        <v>0</v>
      </c>
    </row>
    <row r="47" spans="1:15" ht="19" customHeight="1" thickBot="1" x14ac:dyDescent="0.3">
      <c r="A47" s="17" t="s">
        <v>113</v>
      </c>
      <c r="B47" s="6" t="s">
        <v>60</v>
      </c>
      <c r="C47" s="7">
        <v>1.0270386934280396</v>
      </c>
      <c r="D47" s="8">
        <v>3.116077184677124</v>
      </c>
      <c r="E47" s="8">
        <v>6.2516374588012695</v>
      </c>
      <c r="F47" s="8">
        <v>0.55441749095916748</v>
      </c>
      <c r="G47" s="8">
        <v>2.5616598129272461</v>
      </c>
      <c r="H47" s="8">
        <v>3.1355602741241455</v>
      </c>
      <c r="I47" s="9">
        <v>2.0062525272369385</v>
      </c>
      <c r="J47" s="9">
        <v>0.8220784068107605</v>
      </c>
      <c r="K47" s="10"/>
      <c r="L47" t="s">
        <v>108</v>
      </c>
      <c r="M47" s="1">
        <v>1</v>
      </c>
      <c r="N47" s="19">
        <f>G47/AVERAGE(G$42:G$46)</f>
        <v>0.97004851804508119</v>
      </c>
      <c r="O47" s="19">
        <f>D47/AVERAGE(D$42:D$46)</f>
        <v>1.0042274786047842</v>
      </c>
    </row>
    <row r="48" spans="1:15" ht="23" thickBot="1" x14ac:dyDescent="0.3">
      <c r="A48" s="17" t="s">
        <v>113</v>
      </c>
      <c r="B48" s="6" t="s">
        <v>61</v>
      </c>
      <c r="C48" s="7">
        <v>0.92073333263397217</v>
      </c>
      <c r="D48" s="8">
        <v>2.7434256076812744</v>
      </c>
      <c r="E48" s="8">
        <v>5.4775691032409668</v>
      </c>
      <c r="F48" s="8">
        <v>0.47457274794578552</v>
      </c>
      <c r="G48" s="8">
        <v>2.2688529491424561</v>
      </c>
      <c r="H48" s="8">
        <v>2.7341434955596924</v>
      </c>
      <c r="I48" s="9">
        <v>1.9966166019439697</v>
      </c>
      <c r="J48" s="9">
        <v>0.82701456546783447</v>
      </c>
      <c r="K48" s="10"/>
      <c r="L48" t="s">
        <v>108</v>
      </c>
      <c r="M48" s="1">
        <v>1</v>
      </c>
      <c r="N48" s="19">
        <f t="shared" ref="N48:N50" si="8">G48/AVERAGE(G$42:G$46)</f>
        <v>0.85916850858617866</v>
      </c>
      <c r="O48" s="19">
        <f t="shared" ref="O48:O50" si="9">D48/AVERAGE(D$42:D$46)</f>
        <v>0.88413194457730648</v>
      </c>
    </row>
    <row r="49" spans="1:15" ht="23" thickBot="1" x14ac:dyDescent="0.3">
      <c r="A49" s="17" t="s">
        <v>113</v>
      </c>
      <c r="B49" s="6" t="s">
        <v>62</v>
      </c>
      <c r="C49" s="7">
        <v>0.90721815824508667</v>
      </c>
      <c r="D49" s="8">
        <v>2.190415620803833</v>
      </c>
      <c r="E49" s="8">
        <v>4.4431591033935547</v>
      </c>
      <c r="F49" s="8">
        <v>0.40696099400520325</v>
      </c>
      <c r="G49" s="8">
        <v>1.7834546566009521</v>
      </c>
      <c r="H49" s="8">
        <v>2.2527434825897217</v>
      </c>
      <c r="I49" s="9">
        <v>2.0284547805786133</v>
      </c>
      <c r="J49" s="9">
        <v>0.81420832872390747</v>
      </c>
      <c r="K49" s="10"/>
      <c r="L49" t="s">
        <v>108</v>
      </c>
      <c r="M49" s="1">
        <v>1</v>
      </c>
      <c r="N49" s="19">
        <f t="shared" si="8"/>
        <v>0.67535803852870435</v>
      </c>
      <c r="O49" s="19">
        <f t="shared" si="9"/>
        <v>0.70591176842247838</v>
      </c>
    </row>
    <row r="50" spans="1:15" ht="23" thickBot="1" x14ac:dyDescent="0.3">
      <c r="A50" s="17" t="s">
        <v>113</v>
      </c>
      <c r="B50" s="6" t="s">
        <v>63</v>
      </c>
      <c r="C50" s="7">
        <v>0.9960942268371582</v>
      </c>
      <c r="D50" s="8">
        <v>2.9562654495239258</v>
      </c>
      <c r="E50" s="8">
        <v>6.035125732421875</v>
      </c>
      <c r="F50" s="8">
        <v>0.51040929555892944</v>
      </c>
      <c r="G50" s="8">
        <v>2.4458560943603516</v>
      </c>
      <c r="H50" s="8">
        <v>3.0788602828979492</v>
      </c>
      <c r="I50" s="9">
        <v>2.0414695739746094</v>
      </c>
      <c r="J50" s="9">
        <v>0.8273465633392334</v>
      </c>
      <c r="K50" s="10"/>
      <c r="L50" t="s">
        <v>108</v>
      </c>
      <c r="M50" s="1">
        <v>1</v>
      </c>
      <c r="N50" s="19">
        <f t="shared" si="8"/>
        <v>0.92619600296363536</v>
      </c>
      <c r="O50" s="19">
        <f t="shared" si="9"/>
        <v>0.95272447456062059</v>
      </c>
    </row>
    <row r="51" spans="1:15" ht="23" thickBot="1" x14ac:dyDescent="0.3">
      <c r="A51" s="17" t="s">
        <v>113</v>
      </c>
      <c r="B51" s="11" t="s">
        <v>64</v>
      </c>
      <c r="C51" s="12">
        <v>0.73776924610137939</v>
      </c>
      <c r="D51" s="13">
        <v>2.3516333103179932</v>
      </c>
      <c r="E51" s="13">
        <v>4.4830155372619629</v>
      </c>
      <c r="F51" s="13">
        <v>0.48067393898963928</v>
      </c>
      <c r="G51" s="13">
        <v>1.8709594011306763</v>
      </c>
      <c r="H51" s="13">
        <v>2.1313822269439697</v>
      </c>
      <c r="I51" s="14">
        <v>1.9063411951065063</v>
      </c>
      <c r="J51" s="14">
        <v>0.79559999704360962</v>
      </c>
      <c r="K51" s="15"/>
      <c r="L51" t="s">
        <v>109</v>
      </c>
      <c r="M51" s="1">
        <v>1</v>
      </c>
      <c r="N51" s="19">
        <f>G51/AVERAGE(G$42:G$46)</f>
        <v>0.70849430717944861</v>
      </c>
      <c r="O51" s="19">
        <f>D51/AVERAGE(D$42:D$46)</f>
        <v>0.75786787356756624</v>
      </c>
    </row>
    <row r="52" spans="1:15" ht="19" customHeight="1" thickBot="1" x14ac:dyDescent="0.3">
      <c r="A52" s="17" t="s">
        <v>114</v>
      </c>
      <c r="B52" s="6" t="s">
        <v>65</v>
      </c>
      <c r="C52" s="7">
        <v>1.2098712921142578</v>
      </c>
      <c r="D52" s="8">
        <v>3.4116871356964111</v>
      </c>
      <c r="E52" s="8">
        <v>7.1540093421936035</v>
      </c>
      <c r="F52" s="8">
        <v>0.48475044965744019</v>
      </c>
      <c r="G52" s="8">
        <v>2.9269366264343262</v>
      </c>
      <c r="H52" s="8">
        <v>3.7423222064971924</v>
      </c>
      <c r="I52" s="9">
        <v>2.0969123840332031</v>
      </c>
      <c r="J52" s="9">
        <v>0.85791474580764771</v>
      </c>
      <c r="K52" s="10"/>
      <c r="L52" t="s">
        <v>108</v>
      </c>
      <c r="M52" s="1">
        <v>0</v>
      </c>
      <c r="N52">
        <v>0</v>
      </c>
      <c r="O52">
        <v>0</v>
      </c>
    </row>
    <row r="53" spans="1:15" ht="23" thickBot="1" x14ac:dyDescent="0.3">
      <c r="A53" s="17" t="s">
        <v>114</v>
      </c>
      <c r="B53" s="6" t="s">
        <v>66</v>
      </c>
      <c r="C53" s="7">
        <v>0.85725384950637817</v>
      </c>
      <c r="D53" s="8">
        <v>3.464961051940918</v>
      </c>
      <c r="E53" s="8">
        <v>7.2620186805725098</v>
      </c>
      <c r="F53" s="8">
        <v>0.65386813879013062</v>
      </c>
      <c r="G53" s="8">
        <v>2.8110928535461426</v>
      </c>
      <c r="H53" s="8">
        <v>3.7970576286315918</v>
      </c>
      <c r="I53" s="9">
        <v>2.0958442687988281</v>
      </c>
      <c r="J53" s="9">
        <v>0.81129133701324463</v>
      </c>
      <c r="K53" s="10"/>
      <c r="L53" t="s">
        <v>108</v>
      </c>
      <c r="M53" s="1">
        <v>0</v>
      </c>
      <c r="N53">
        <v>0</v>
      </c>
      <c r="O53">
        <v>0</v>
      </c>
    </row>
    <row r="54" spans="1:15" ht="23" thickBot="1" x14ac:dyDescent="0.3">
      <c r="A54" s="17" t="s">
        <v>114</v>
      </c>
      <c r="B54" s="6" t="s">
        <v>67</v>
      </c>
      <c r="C54" s="7">
        <v>0.85301506519317627</v>
      </c>
      <c r="D54" s="8">
        <v>3.5068192481994629</v>
      </c>
      <c r="E54" s="8">
        <v>7.0205345153808594</v>
      </c>
      <c r="F54" s="8">
        <v>0.71083551645278931</v>
      </c>
      <c r="G54" s="8">
        <v>2.7959837913513184</v>
      </c>
      <c r="H54" s="8">
        <v>3.5137152671813965</v>
      </c>
      <c r="I54" s="9">
        <v>2.0019664764404297</v>
      </c>
      <c r="J54" s="9">
        <v>0.7972990870475769</v>
      </c>
      <c r="K54" s="10"/>
      <c r="L54" t="s">
        <v>108</v>
      </c>
      <c r="M54" s="1">
        <v>0</v>
      </c>
      <c r="N54">
        <v>0</v>
      </c>
      <c r="O54">
        <v>0</v>
      </c>
    </row>
    <row r="55" spans="1:15" ht="23" thickBot="1" x14ac:dyDescent="0.3">
      <c r="A55" s="17" t="s">
        <v>114</v>
      </c>
      <c r="B55" s="11" t="s">
        <v>68</v>
      </c>
      <c r="C55" s="12">
        <v>0.65480798482894897</v>
      </c>
      <c r="D55" s="13">
        <v>2.2960326671600342</v>
      </c>
      <c r="E55" s="13">
        <v>4.4877796173095703</v>
      </c>
      <c r="F55" s="13">
        <v>0.48205727338790894</v>
      </c>
      <c r="G55" s="13">
        <v>1.8139753341674805</v>
      </c>
      <c r="H55" s="13">
        <v>2.1917469501495361</v>
      </c>
      <c r="I55" s="14">
        <v>1.9545800685882568</v>
      </c>
      <c r="J55" s="14">
        <v>0.79004770517349243</v>
      </c>
      <c r="K55" s="15"/>
      <c r="L55" t="s">
        <v>108</v>
      </c>
      <c r="M55" s="1">
        <v>0</v>
      </c>
      <c r="N55">
        <v>0</v>
      </c>
      <c r="O55">
        <v>0</v>
      </c>
    </row>
    <row r="56" spans="1:15" ht="19" customHeight="1" thickBot="1" x14ac:dyDescent="0.3">
      <c r="A56" s="17" t="s">
        <v>115</v>
      </c>
      <c r="B56" s="6" t="s">
        <v>69</v>
      </c>
      <c r="C56" s="7">
        <v>0.7407262921333313</v>
      </c>
      <c r="D56" s="8">
        <v>3.4096236228942871</v>
      </c>
      <c r="E56" s="8">
        <v>6.7518095970153809</v>
      </c>
      <c r="F56" s="8">
        <v>0.61134707927703857</v>
      </c>
      <c r="G56" s="8">
        <v>2.798276424407959</v>
      </c>
      <c r="H56" s="8">
        <v>3.3421859741210938</v>
      </c>
      <c r="I56" s="9">
        <v>1.9802213907241821</v>
      </c>
      <c r="J56" s="9">
        <v>0.82069951295852661</v>
      </c>
      <c r="K56" s="10"/>
      <c r="L56" t="s">
        <v>108</v>
      </c>
      <c r="M56" s="1">
        <v>1</v>
      </c>
      <c r="N56" s="19">
        <f>G56/AVERAGE(G$52:G$55)</f>
        <v>1.08166969682238</v>
      </c>
      <c r="O56" s="19">
        <f>D56/AVERAGE(D$52:D$55)</f>
        <v>1.0756334540628822</v>
      </c>
    </row>
    <row r="57" spans="1:15" ht="23" thickBot="1" x14ac:dyDescent="0.3">
      <c r="A57" s="17" t="s">
        <v>115</v>
      </c>
      <c r="B57" s="6" t="s">
        <v>70</v>
      </c>
      <c r="C57" s="7">
        <v>0.74101340770721436</v>
      </c>
      <c r="D57" s="8">
        <v>3.2360427379608154</v>
      </c>
      <c r="E57" s="8">
        <v>6.5531907081604004</v>
      </c>
      <c r="F57" s="8">
        <v>0.53630214929580688</v>
      </c>
      <c r="G57" s="8">
        <v>2.6997406482696533</v>
      </c>
      <c r="H57" s="8">
        <v>3.317147970199585</v>
      </c>
      <c r="I57" s="9">
        <v>2.0250630378723145</v>
      </c>
      <c r="J57" s="9">
        <v>0.83427226543426514</v>
      </c>
      <c r="K57" s="10"/>
      <c r="L57" t="s">
        <v>108</v>
      </c>
      <c r="M57" s="1">
        <v>1</v>
      </c>
      <c r="N57" s="19">
        <f t="shared" ref="N57:N58" si="10">G57/AVERAGE(G$52:G$55)</f>
        <v>1.0435808353460772</v>
      </c>
      <c r="O57" s="19">
        <f t="shared" ref="O57:O58" si="11">D57/AVERAGE(D$52:D$55)</f>
        <v>1.0208739182693709</v>
      </c>
    </row>
    <row r="58" spans="1:15" ht="23" thickBot="1" x14ac:dyDescent="0.3">
      <c r="A58" s="17" t="s">
        <v>115</v>
      </c>
      <c r="B58" s="6" t="s">
        <v>71</v>
      </c>
      <c r="C58" s="7">
        <v>0.64240676164627075</v>
      </c>
      <c r="D58" s="8">
        <v>2.7595369815826416</v>
      </c>
      <c r="E58" s="8">
        <v>5.3968534469604492</v>
      </c>
      <c r="F58" s="8">
        <v>0.43616911768913269</v>
      </c>
      <c r="G58" s="8">
        <v>2.3233678340911865</v>
      </c>
      <c r="H58" s="8">
        <v>2.6373164653778076</v>
      </c>
      <c r="I58" s="9">
        <v>1.9557098150253296</v>
      </c>
      <c r="J58" s="9">
        <v>0.84194117784500122</v>
      </c>
      <c r="K58" s="10"/>
      <c r="L58" t="s">
        <v>108</v>
      </c>
      <c r="M58" s="1">
        <v>1</v>
      </c>
      <c r="N58" s="19">
        <f t="shared" si="10"/>
        <v>0.89809446943398108</v>
      </c>
      <c r="O58" s="19">
        <f t="shared" si="11"/>
        <v>0.87055071861403099</v>
      </c>
    </row>
    <row r="59" spans="1:15" ht="23" thickBot="1" x14ac:dyDescent="0.3">
      <c r="A59" s="17" t="s">
        <v>115</v>
      </c>
      <c r="B59" s="11" t="s">
        <v>72</v>
      </c>
      <c r="C59" s="12">
        <v>0.71271103620529175</v>
      </c>
      <c r="D59" s="13">
        <v>3.0476808547973633</v>
      </c>
      <c r="E59" s="13">
        <v>5.5293369293212891</v>
      </c>
      <c r="F59" s="13">
        <v>0.54236280918121338</v>
      </c>
      <c r="G59" s="13">
        <v>2.5053181648254395</v>
      </c>
      <c r="H59" s="13">
        <v>2.4816560745239258</v>
      </c>
      <c r="I59" s="14">
        <v>1.8142769336700439</v>
      </c>
      <c r="J59" s="14">
        <v>0.822040855884552</v>
      </c>
      <c r="K59" s="15"/>
      <c r="L59" t="s">
        <v>108</v>
      </c>
      <c r="M59" s="1">
        <v>1</v>
      </c>
      <c r="N59" s="19">
        <f>G59/AVERAGE(G$52:G$55)</f>
        <v>0.96842710611182137</v>
      </c>
      <c r="O59" s="19">
        <f>D59/AVERAGE(D$52:D$55)</f>
        <v>0.96145142317623</v>
      </c>
    </row>
    <row r="60" spans="1:15" ht="19" customHeight="1" thickBot="1" x14ac:dyDescent="0.3">
      <c r="A60" s="17" t="s">
        <v>116</v>
      </c>
      <c r="B60" s="6" t="s">
        <v>73</v>
      </c>
      <c r="C60" s="7">
        <v>1.2122378349304199</v>
      </c>
      <c r="D60" s="8">
        <v>3.3891606330871582</v>
      </c>
      <c r="E60" s="8">
        <v>6.2684645652770996</v>
      </c>
      <c r="F60" s="8">
        <v>0.39527595043182373</v>
      </c>
      <c r="G60" s="8">
        <v>2.9938845634460449</v>
      </c>
      <c r="H60" s="8">
        <v>2.8793039321899414</v>
      </c>
      <c r="I60" s="9">
        <v>1.8495625257492065</v>
      </c>
      <c r="J60" s="9">
        <v>0.88337051868438721</v>
      </c>
      <c r="K60" s="10"/>
      <c r="L60" t="s">
        <v>108</v>
      </c>
      <c r="M60" s="1">
        <v>0</v>
      </c>
      <c r="N60">
        <v>0</v>
      </c>
      <c r="O60">
        <v>0</v>
      </c>
    </row>
    <row r="61" spans="1:15" ht="23" thickBot="1" x14ac:dyDescent="0.3">
      <c r="A61" s="17" t="s">
        <v>116</v>
      </c>
      <c r="B61" s="6" t="s">
        <v>74</v>
      </c>
      <c r="C61" s="7">
        <v>0.8054271936416626</v>
      </c>
      <c r="D61" s="8">
        <v>3.0327026844024658</v>
      </c>
      <c r="E61" s="8">
        <v>5.9978351593017578</v>
      </c>
      <c r="F61" s="8">
        <v>0.53820836544036865</v>
      </c>
      <c r="G61" s="8">
        <v>2.4944944381713867</v>
      </c>
      <c r="H61" s="8">
        <v>2.965132474899292</v>
      </c>
      <c r="I61" s="9">
        <v>1.9777194261550903</v>
      </c>
      <c r="J61" s="9">
        <v>0.82253181934356689</v>
      </c>
      <c r="K61" s="10"/>
      <c r="L61" t="s">
        <v>108</v>
      </c>
      <c r="M61" s="1">
        <v>0</v>
      </c>
      <c r="N61">
        <v>0</v>
      </c>
      <c r="O61">
        <v>0</v>
      </c>
    </row>
    <row r="62" spans="1:15" ht="23" thickBot="1" x14ac:dyDescent="0.3">
      <c r="A62" s="17" t="s">
        <v>116</v>
      </c>
      <c r="B62" s="6" t="s">
        <v>75</v>
      </c>
      <c r="C62" s="7">
        <v>0.79467511177062988</v>
      </c>
      <c r="D62" s="8">
        <v>3.0844955444335938</v>
      </c>
      <c r="E62" s="8">
        <v>6.5457568168640137</v>
      </c>
      <c r="F62" s="8">
        <v>0.46773827075958252</v>
      </c>
      <c r="G62" s="8">
        <v>2.6167573928833008</v>
      </c>
      <c r="H62" s="8">
        <v>3.4612612724304199</v>
      </c>
      <c r="I62" s="9">
        <v>2.1221482753753662</v>
      </c>
      <c r="J62" s="9">
        <v>0.84835827350616455</v>
      </c>
      <c r="K62" s="10"/>
      <c r="L62" t="s">
        <v>108</v>
      </c>
      <c r="M62" s="1">
        <v>0</v>
      </c>
      <c r="N62">
        <v>0</v>
      </c>
      <c r="O62">
        <v>0</v>
      </c>
    </row>
    <row r="63" spans="1:15" ht="23" thickBot="1" x14ac:dyDescent="0.3">
      <c r="A63" s="17" t="s">
        <v>116</v>
      </c>
      <c r="B63" s="11" t="s">
        <v>76</v>
      </c>
      <c r="C63" s="12">
        <v>0.74220132827758789</v>
      </c>
      <c r="D63" s="13">
        <v>2.8443467617034912</v>
      </c>
      <c r="E63" s="13">
        <v>5.9514145851135254</v>
      </c>
      <c r="F63" s="13">
        <v>0.48333987593650818</v>
      </c>
      <c r="G63" s="13">
        <v>2.3610069751739502</v>
      </c>
      <c r="H63" s="13">
        <v>3.1070678234100342</v>
      </c>
      <c r="I63" s="14">
        <v>2.0923659801483154</v>
      </c>
      <c r="J63" s="14">
        <v>0.83007001876831055</v>
      </c>
      <c r="K63" s="15"/>
      <c r="L63" t="s">
        <v>108</v>
      </c>
      <c r="M63" s="1">
        <v>0</v>
      </c>
      <c r="N63">
        <v>0</v>
      </c>
      <c r="O63">
        <v>0</v>
      </c>
    </row>
    <row r="64" spans="1:15" ht="19" customHeight="1" thickBot="1" x14ac:dyDescent="0.3">
      <c r="A64" s="17" t="s">
        <v>117</v>
      </c>
      <c r="B64" s="6" t="s">
        <v>77</v>
      </c>
      <c r="C64" s="7">
        <v>0.80229252576828003</v>
      </c>
      <c r="D64" s="8">
        <v>2.8135313987731934</v>
      </c>
      <c r="E64" s="8">
        <v>5.8843240737915039</v>
      </c>
      <c r="F64" s="8">
        <v>0.41026595234870911</v>
      </c>
      <c r="G64" s="8">
        <v>2.4032654762268066</v>
      </c>
      <c r="H64" s="8">
        <v>3.0707926750183105</v>
      </c>
      <c r="I64" s="9">
        <v>2.0914371013641357</v>
      </c>
      <c r="J64" s="9">
        <v>0.85418117046356201</v>
      </c>
      <c r="K64" s="10"/>
      <c r="L64" t="s">
        <v>108</v>
      </c>
      <c r="M64" s="1">
        <v>1</v>
      </c>
      <c r="N64" s="19">
        <f>G64/AVERAGE(G$60:G$63)</f>
        <v>0.91849132630466035</v>
      </c>
      <c r="O64" s="19">
        <f>D64/AVERAGE(D$60:D$63)</f>
        <v>0.91121316773705663</v>
      </c>
    </row>
    <row r="65" spans="1:15" ht="23" thickBot="1" x14ac:dyDescent="0.3">
      <c r="A65" s="17" t="s">
        <v>117</v>
      </c>
      <c r="B65" s="6" t="s">
        <v>78</v>
      </c>
      <c r="C65" s="7">
        <v>0.76495867967605591</v>
      </c>
      <c r="D65" s="8">
        <v>2.8511974811553955</v>
      </c>
      <c r="E65" s="8">
        <v>6.2183995246887207</v>
      </c>
      <c r="F65" s="8">
        <v>0.50890707969665527</v>
      </c>
      <c r="G65" s="8">
        <v>2.3422904014587402</v>
      </c>
      <c r="H65" s="8">
        <v>3.3672020435333252</v>
      </c>
      <c r="I65" s="9">
        <v>2.1809782981872559</v>
      </c>
      <c r="J65" s="9">
        <v>0.82151108980178833</v>
      </c>
      <c r="K65" s="10"/>
      <c r="L65" t="s">
        <v>108</v>
      </c>
      <c r="M65" s="1">
        <v>1</v>
      </c>
      <c r="N65" s="19">
        <f t="shared" ref="N65:N66" si="12">G65/AVERAGE(G$60:G$63)</f>
        <v>0.89518758485401684</v>
      </c>
      <c r="O65" s="19">
        <f t="shared" ref="O65:O66" si="13">D65/AVERAGE(D$60:D$63)</f>
        <v>0.92341201160234887</v>
      </c>
    </row>
    <row r="66" spans="1:15" ht="23" thickBot="1" x14ac:dyDescent="0.3">
      <c r="A66" s="17" t="s">
        <v>117</v>
      </c>
      <c r="B66" s="6" t="s">
        <v>79</v>
      </c>
      <c r="C66" s="7">
        <v>0.75784093141555786</v>
      </c>
      <c r="D66" s="8">
        <v>2.9405388832092285</v>
      </c>
      <c r="E66" s="8">
        <v>6.1028542518615723</v>
      </c>
      <c r="F66" s="8">
        <v>0.39181938767433167</v>
      </c>
      <c r="G66" s="8">
        <v>2.5487194061279297</v>
      </c>
      <c r="H66" s="8">
        <v>3.1623153686523438</v>
      </c>
      <c r="I66" s="9">
        <v>2.0754203796386719</v>
      </c>
      <c r="J66" s="9">
        <v>0.8667525053024292</v>
      </c>
      <c r="K66" s="10"/>
      <c r="L66" t="s">
        <v>108</v>
      </c>
      <c r="M66" s="1">
        <v>1</v>
      </c>
      <c r="N66" s="19">
        <f t="shared" si="12"/>
        <v>0.97408159475925504</v>
      </c>
      <c r="O66" s="19">
        <f t="shared" si="13"/>
        <v>0.95234684489087751</v>
      </c>
    </row>
    <row r="67" spans="1:15" ht="23" thickBot="1" x14ac:dyDescent="0.3">
      <c r="A67" s="17" t="s">
        <v>117</v>
      </c>
      <c r="B67" s="11" t="s">
        <v>80</v>
      </c>
      <c r="C67" s="12">
        <v>0.73867487907409668</v>
      </c>
      <c r="D67" s="13">
        <v>2.6538007259368896</v>
      </c>
      <c r="E67" s="13">
        <v>5.6022272109985352</v>
      </c>
      <c r="F67" s="13">
        <v>0.32363489270210266</v>
      </c>
      <c r="G67" s="13">
        <v>2.3301658630371094</v>
      </c>
      <c r="H67" s="13">
        <v>2.9484264850616455</v>
      </c>
      <c r="I67" s="14">
        <v>2.1110203266143799</v>
      </c>
      <c r="J67" s="14">
        <v>0.87804853916168213</v>
      </c>
      <c r="K67" s="15"/>
      <c r="L67" t="s">
        <v>108</v>
      </c>
      <c r="M67" s="1">
        <v>1</v>
      </c>
      <c r="N67" s="19">
        <f>G67/AVERAGE(G$60:G$63)</f>
        <v>0.89055377161703742</v>
      </c>
      <c r="O67" s="19">
        <f>D67/AVERAGE(D$60:D$63)</f>
        <v>0.85948149257487272</v>
      </c>
    </row>
    <row r="68" spans="1:15" ht="19" customHeight="1" thickBot="1" x14ac:dyDescent="0.3">
      <c r="A68" s="17" t="s">
        <v>81</v>
      </c>
      <c r="B68" s="6" t="s">
        <v>82</v>
      </c>
      <c r="C68" s="7">
        <v>0.99335068464279175</v>
      </c>
      <c r="D68" s="8">
        <v>3.2232258319854736</v>
      </c>
      <c r="E68" s="8">
        <v>6.4015135765075684</v>
      </c>
      <c r="F68" s="8">
        <v>0.26040101051330566</v>
      </c>
      <c r="G68" s="8">
        <v>2.962824821472168</v>
      </c>
      <c r="H68" s="8">
        <v>3.1782877445220947</v>
      </c>
      <c r="I68" s="9">
        <v>1.9860579967498779</v>
      </c>
      <c r="J68" s="9">
        <v>0.91921103000640869</v>
      </c>
      <c r="K68" s="10"/>
      <c r="L68" t="s">
        <v>108</v>
      </c>
      <c r="M68" s="1">
        <v>0</v>
      </c>
      <c r="N68">
        <v>0</v>
      </c>
      <c r="O68">
        <v>0</v>
      </c>
    </row>
    <row r="69" spans="1:15" ht="23" thickBot="1" x14ac:dyDescent="0.3">
      <c r="A69" s="17" t="s">
        <v>81</v>
      </c>
      <c r="B69" s="6" t="s">
        <v>83</v>
      </c>
      <c r="C69" s="7">
        <v>0.77487611770629883</v>
      </c>
      <c r="D69" s="8">
        <v>2.9789321422576904</v>
      </c>
      <c r="E69" s="8">
        <v>6.0037646293640137</v>
      </c>
      <c r="F69" s="8">
        <v>0.32688829302787781</v>
      </c>
      <c r="G69" s="8">
        <v>2.6520438194274902</v>
      </c>
      <c r="H69" s="8">
        <v>3.0248324871063232</v>
      </c>
      <c r="I69" s="9">
        <v>2.0154082775115967</v>
      </c>
      <c r="J69" s="9">
        <v>0.89026659727096558</v>
      </c>
      <c r="K69" s="10"/>
      <c r="L69" t="s">
        <v>108</v>
      </c>
      <c r="M69" s="1">
        <v>0</v>
      </c>
      <c r="N69">
        <v>0</v>
      </c>
      <c r="O69">
        <v>0</v>
      </c>
    </row>
    <row r="70" spans="1:15" ht="23" thickBot="1" x14ac:dyDescent="0.3">
      <c r="A70" s="17" t="s">
        <v>81</v>
      </c>
      <c r="B70" s="6" t="s">
        <v>84</v>
      </c>
      <c r="C70" s="7">
        <v>0.77843391895294189</v>
      </c>
      <c r="D70" s="8">
        <v>3.586677074432373</v>
      </c>
      <c r="E70" s="8">
        <v>7.0615630149841309</v>
      </c>
      <c r="F70" s="8">
        <v>0.40286010503768921</v>
      </c>
      <c r="G70" s="8">
        <v>3.1838169097900391</v>
      </c>
      <c r="H70" s="8">
        <v>3.4748859405517578</v>
      </c>
      <c r="I70" s="9">
        <v>1.9688315391540527</v>
      </c>
      <c r="J70" s="9">
        <v>0.88767874240875244</v>
      </c>
      <c r="K70" s="10"/>
      <c r="L70" t="s">
        <v>108</v>
      </c>
      <c r="M70" s="1">
        <v>0</v>
      </c>
      <c r="N70">
        <v>0</v>
      </c>
      <c r="O70">
        <v>0</v>
      </c>
    </row>
    <row r="71" spans="1:15" ht="23" thickBot="1" x14ac:dyDescent="0.3">
      <c r="A71" s="17" t="s">
        <v>81</v>
      </c>
      <c r="B71" s="6" t="s">
        <v>85</v>
      </c>
      <c r="C71" s="7">
        <v>0.84627115726470947</v>
      </c>
      <c r="D71" s="8">
        <v>3.9635310173034668</v>
      </c>
      <c r="E71" s="8">
        <v>7.5865316390991211</v>
      </c>
      <c r="F71" s="8">
        <v>0.47565960884094238</v>
      </c>
      <c r="G71" s="8">
        <v>3.4878714084625244</v>
      </c>
      <c r="H71" s="8">
        <v>3.6230006217956543</v>
      </c>
      <c r="I71" s="9">
        <v>1.9140840768814087</v>
      </c>
      <c r="J71" s="9">
        <v>0.87999093532562256</v>
      </c>
      <c r="K71" s="10"/>
      <c r="L71" t="s">
        <v>108</v>
      </c>
      <c r="M71" s="1">
        <v>0</v>
      </c>
      <c r="N71">
        <v>0</v>
      </c>
      <c r="O71">
        <v>0</v>
      </c>
    </row>
    <row r="72" spans="1:15" ht="23" thickBot="1" x14ac:dyDescent="0.3">
      <c r="A72" s="17" t="s">
        <v>81</v>
      </c>
      <c r="B72" s="11" t="s">
        <v>86</v>
      </c>
      <c r="C72" s="12">
        <v>0.70140552520751953</v>
      </c>
      <c r="D72" s="13">
        <v>3.4404904842376709</v>
      </c>
      <c r="E72" s="13">
        <v>6.7342886924743652</v>
      </c>
      <c r="F72" s="13">
        <v>0.55378997325897217</v>
      </c>
      <c r="G72" s="13">
        <v>2.8867006301879883</v>
      </c>
      <c r="H72" s="13">
        <v>3.2937982082366943</v>
      </c>
      <c r="I72" s="14">
        <v>1.9573630094528198</v>
      </c>
      <c r="J72" s="14">
        <v>0.83903753757476807</v>
      </c>
      <c r="K72" s="15"/>
      <c r="L72" t="s">
        <v>108</v>
      </c>
      <c r="M72" s="1">
        <v>0</v>
      </c>
      <c r="N72">
        <v>0</v>
      </c>
      <c r="O72">
        <v>0</v>
      </c>
    </row>
    <row r="73" spans="1:15" ht="19" customHeight="1" thickBot="1" x14ac:dyDescent="0.3">
      <c r="A73" s="17" t="s">
        <v>118</v>
      </c>
      <c r="B73" s="6" t="s">
        <v>87</v>
      </c>
      <c r="C73" s="7">
        <v>0.98972952365875244</v>
      </c>
      <c r="D73" s="8">
        <v>3.728898286819458</v>
      </c>
      <c r="E73" s="8">
        <v>7.2864813804626465</v>
      </c>
      <c r="F73" s="8">
        <v>0.73278254270553589</v>
      </c>
      <c r="G73" s="8">
        <v>2.9961156845092773</v>
      </c>
      <c r="H73" s="8">
        <v>3.5575830936431885</v>
      </c>
      <c r="I73" s="9">
        <v>1.9540574550628662</v>
      </c>
      <c r="J73" s="9">
        <v>0.80348551273345947</v>
      </c>
      <c r="K73" s="10"/>
      <c r="L73" t="s">
        <v>108</v>
      </c>
      <c r="M73" s="1">
        <v>1</v>
      </c>
      <c r="N73" s="19">
        <f>G73/AVERAGE(G$68:G$72)</f>
        <v>0.98730139749758239</v>
      </c>
      <c r="O73" s="19">
        <f>D73/AVERAGE(D$68:D$72)</f>
        <v>1.0844324431859649</v>
      </c>
    </row>
    <row r="74" spans="1:15" ht="23" thickBot="1" x14ac:dyDescent="0.3">
      <c r="A74" s="17" t="s">
        <v>118</v>
      </c>
      <c r="B74" s="6" t="s">
        <v>88</v>
      </c>
      <c r="C74" s="7">
        <v>0.90192240476608276</v>
      </c>
      <c r="D74" s="8">
        <v>3.6419448852539062</v>
      </c>
      <c r="E74" s="8">
        <v>6.923499584197998</v>
      </c>
      <c r="F74" s="8">
        <v>0.7736358642578125</v>
      </c>
      <c r="G74" s="8">
        <v>2.8683090209960938</v>
      </c>
      <c r="H74" s="8">
        <v>3.2815546989440918</v>
      </c>
      <c r="I74" s="9">
        <v>1.9010446071624756</v>
      </c>
      <c r="J74" s="9">
        <v>0.78757619857788086</v>
      </c>
      <c r="K74" s="10"/>
      <c r="L74" t="s">
        <v>108</v>
      </c>
      <c r="M74" s="1">
        <v>1</v>
      </c>
      <c r="N74" s="19">
        <f t="shared" ref="N74:N76" si="14">G74/AVERAGE(G$68:G$72)</f>
        <v>0.94518563469560746</v>
      </c>
      <c r="O74" s="19">
        <f t="shared" ref="O74:O76" si="15">D74/AVERAGE(D$68:D$72)</f>
        <v>1.05914478917932</v>
      </c>
    </row>
    <row r="75" spans="1:15" ht="23" thickBot="1" x14ac:dyDescent="0.3">
      <c r="A75" s="17" t="s">
        <v>118</v>
      </c>
      <c r="B75" s="6" t="s">
        <v>89</v>
      </c>
      <c r="C75" s="7">
        <v>0.90894007682800293</v>
      </c>
      <c r="D75" s="8">
        <v>3.4812355041503906</v>
      </c>
      <c r="E75" s="8">
        <v>6.9451642036437988</v>
      </c>
      <c r="F75" s="8">
        <v>0.66466498374938965</v>
      </c>
      <c r="G75" s="8">
        <v>2.816570520401001</v>
      </c>
      <c r="H75" s="8">
        <v>3.4639286994934082</v>
      </c>
      <c r="I75" s="9">
        <v>1.9950284957885742</v>
      </c>
      <c r="J75" s="9">
        <v>0.80907207727432251</v>
      </c>
      <c r="K75" s="10"/>
      <c r="L75" t="s">
        <v>108</v>
      </c>
      <c r="M75" s="1">
        <v>1</v>
      </c>
      <c r="N75" s="19">
        <f t="shared" si="14"/>
        <v>0.92813639517322533</v>
      </c>
      <c r="O75" s="19">
        <f t="shared" si="15"/>
        <v>1.0124075350662185</v>
      </c>
    </row>
    <row r="76" spans="1:15" ht="23" thickBot="1" x14ac:dyDescent="0.3">
      <c r="A76" s="17" t="s">
        <v>118</v>
      </c>
      <c r="B76" s="6" t="s">
        <v>90</v>
      </c>
      <c r="C76" s="7">
        <v>0.9626731276512146</v>
      </c>
      <c r="D76" s="8">
        <v>2.7957208156585693</v>
      </c>
      <c r="E76" s="8">
        <v>4.3169436454772949</v>
      </c>
      <c r="F76" s="8">
        <v>0.34175971150398254</v>
      </c>
      <c r="G76" s="8">
        <v>2.4539611339569092</v>
      </c>
      <c r="H76" s="8">
        <v>1.5212228298187256</v>
      </c>
      <c r="I76" s="9">
        <v>1.5441254377365112</v>
      </c>
      <c r="J76" s="9">
        <v>0.87775611877441406</v>
      </c>
      <c r="K76" s="10"/>
      <c r="L76" t="s">
        <v>109</v>
      </c>
      <c r="M76" s="1">
        <v>1</v>
      </c>
      <c r="N76" s="19">
        <f t="shared" si="14"/>
        <v>0.80864676537255586</v>
      </c>
      <c r="O76" s="19">
        <f t="shared" si="15"/>
        <v>0.8130472116407369</v>
      </c>
    </row>
    <row r="77" spans="1:15" ht="23" thickBot="1" x14ac:dyDescent="0.3">
      <c r="A77" s="17" t="s">
        <v>118</v>
      </c>
      <c r="B77" s="11" t="s">
        <v>91</v>
      </c>
      <c r="C77" s="12">
        <v>1.1102021932601929</v>
      </c>
      <c r="D77" s="13">
        <v>3.5667710304260254</v>
      </c>
      <c r="E77" s="13">
        <v>6.0032072067260742</v>
      </c>
      <c r="F77" s="13">
        <v>0.71457988023757935</v>
      </c>
      <c r="G77" s="13">
        <v>2.8521912097930908</v>
      </c>
      <c r="H77" s="13">
        <v>2.4364361763000488</v>
      </c>
      <c r="I77" s="14">
        <v>1.6830929517745972</v>
      </c>
      <c r="J77" s="14">
        <v>0.79965639114379883</v>
      </c>
      <c r="K77" s="15"/>
      <c r="L77" t="s">
        <v>108</v>
      </c>
      <c r="M77" s="1">
        <v>1</v>
      </c>
      <c r="N77" s="19">
        <f>G77/AVERAGE(G$68:G$72)</f>
        <v>0.93987437865579493</v>
      </c>
      <c r="O77" s="19">
        <f>D77/AVERAGE(D$68:D$72)</f>
        <v>1.0372828447699329</v>
      </c>
    </row>
    <row r="78" spans="1:15" ht="19" customHeight="1" thickBot="1" x14ac:dyDescent="0.3">
      <c r="A78" s="17" t="s">
        <v>119</v>
      </c>
      <c r="B78" s="6" t="s">
        <v>92</v>
      </c>
      <c r="C78" s="7">
        <v>0.89752912521362305</v>
      </c>
      <c r="D78" s="8">
        <v>2.5908100605010986</v>
      </c>
      <c r="E78" s="8">
        <v>5.9278650283813477</v>
      </c>
      <c r="F78" s="8">
        <v>0.23737400770187378</v>
      </c>
      <c r="G78" s="8">
        <v>2.3534359931945801</v>
      </c>
      <c r="H78" s="8">
        <v>3.337054967880249</v>
      </c>
      <c r="I78" s="9">
        <v>2.2880353927612305</v>
      </c>
      <c r="J78" s="9">
        <v>0.90837842226028442</v>
      </c>
      <c r="K78" s="10"/>
      <c r="L78" t="s">
        <v>108</v>
      </c>
      <c r="M78" s="1">
        <v>0</v>
      </c>
      <c r="N78">
        <v>0</v>
      </c>
      <c r="O78">
        <v>0</v>
      </c>
    </row>
    <row r="79" spans="1:15" ht="23" thickBot="1" x14ac:dyDescent="0.3">
      <c r="A79" s="17" t="s">
        <v>119</v>
      </c>
      <c r="B79" s="6" t="s">
        <v>93</v>
      </c>
      <c r="C79" s="7">
        <v>0.72168689966201782</v>
      </c>
      <c r="D79" s="8">
        <v>3.1564385890960693</v>
      </c>
      <c r="E79" s="8">
        <v>6.1260437965393066</v>
      </c>
      <c r="F79" s="8">
        <v>0.4332568347454071</v>
      </c>
      <c r="G79" s="8">
        <v>2.7231817245483398</v>
      </c>
      <c r="H79" s="8">
        <v>2.9696052074432373</v>
      </c>
      <c r="I79" s="9">
        <v>1.9408087730407715</v>
      </c>
      <c r="J79" s="9">
        <v>0.86273872852325439</v>
      </c>
      <c r="K79" s="10"/>
      <c r="L79" t="s">
        <v>108</v>
      </c>
      <c r="M79" s="1">
        <v>0</v>
      </c>
      <c r="N79">
        <v>0</v>
      </c>
      <c r="O79">
        <v>0</v>
      </c>
    </row>
    <row r="80" spans="1:15" ht="23" thickBot="1" x14ac:dyDescent="0.3">
      <c r="A80" s="17" t="s">
        <v>119</v>
      </c>
      <c r="B80" s="6" t="s">
        <v>94</v>
      </c>
      <c r="C80" s="7">
        <v>0.7119101881980896</v>
      </c>
      <c r="D80" s="8">
        <v>2.9864263534545898</v>
      </c>
      <c r="E80" s="8">
        <v>5.2783746719360352</v>
      </c>
      <c r="F80" s="8">
        <v>0.51414680480957031</v>
      </c>
      <c r="G80" s="8">
        <v>2.4722795486450195</v>
      </c>
      <c r="H80" s="8">
        <v>2.2919483184814453</v>
      </c>
      <c r="I80" s="9">
        <v>1.7674552202224731</v>
      </c>
      <c r="J80" s="9">
        <v>0.82783877849578857</v>
      </c>
      <c r="K80" s="10"/>
      <c r="L80" t="s">
        <v>108</v>
      </c>
      <c r="M80" s="1">
        <v>0</v>
      </c>
      <c r="N80">
        <v>0</v>
      </c>
      <c r="O80">
        <v>0</v>
      </c>
    </row>
    <row r="81" spans="1:15" ht="23" thickBot="1" x14ac:dyDescent="0.3">
      <c r="A81" s="17" t="s">
        <v>119</v>
      </c>
      <c r="B81" s="11" t="s">
        <v>95</v>
      </c>
      <c r="C81" s="12">
        <v>0.74624842405319214</v>
      </c>
      <c r="D81" s="13">
        <v>3.1338527202606201</v>
      </c>
      <c r="E81" s="13">
        <v>6.1940765380859375</v>
      </c>
      <c r="F81" s="13">
        <v>0.5477033257484436</v>
      </c>
      <c r="G81" s="13">
        <v>2.5861494541168213</v>
      </c>
      <c r="H81" s="13">
        <v>3.0602238178253174</v>
      </c>
      <c r="I81" s="14">
        <v>1.9765052795410156</v>
      </c>
      <c r="J81" s="14">
        <v>0.82523006200790405</v>
      </c>
      <c r="K81" s="15"/>
      <c r="L81" t="s">
        <v>108</v>
      </c>
      <c r="M81" s="1">
        <v>0</v>
      </c>
      <c r="N81">
        <v>0</v>
      </c>
      <c r="O81">
        <v>0</v>
      </c>
    </row>
    <row r="82" spans="1:15" ht="19" customHeight="1" thickBot="1" x14ac:dyDescent="0.3">
      <c r="A82" s="17" t="s">
        <v>120</v>
      </c>
      <c r="B82" s="6" t="s">
        <v>96</v>
      </c>
      <c r="C82" s="7">
        <v>0.60889792442321777</v>
      </c>
      <c r="D82" s="8">
        <v>2.3013772964477539</v>
      </c>
      <c r="E82" s="8">
        <v>4.9803872108459473</v>
      </c>
      <c r="F82" s="8">
        <v>0.38977518677711487</v>
      </c>
      <c r="G82" s="8">
        <v>1.9116021394729614</v>
      </c>
      <c r="H82" s="8">
        <v>2.6790099143981934</v>
      </c>
      <c r="I82" s="9">
        <v>2.1640899181365967</v>
      </c>
      <c r="J82" s="9">
        <v>0.83063393831253052</v>
      </c>
      <c r="K82" s="10"/>
      <c r="L82" t="s">
        <v>108</v>
      </c>
      <c r="M82" s="1">
        <v>1</v>
      </c>
      <c r="N82" s="19">
        <f>G82/AVERAGE(G$78:G$81)</f>
        <v>0.75445222590064465</v>
      </c>
      <c r="O82" s="19">
        <f>D82/AVERAGE(D$78:D$81)</f>
        <v>0.77568887138202036</v>
      </c>
    </row>
    <row r="83" spans="1:15" ht="23" thickBot="1" x14ac:dyDescent="0.3">
      <c r="A83" s="17" t="s">
        <v>120</v>
      </c>
      <c r="B83" s="6" t="s">
        <v>97</v>
      </c>
      <c r="C83" s="7">
        <v>0.76244580745697021</v>
      </c>
      <c r="D83" s="8">
        <v>3.1468188762664795</v>
      </c>
      <c r="E83" s="8">
        <v>6.7851433753967285</v>
      </c>
      <c r="F83" s="8">
        <v>0.531352698802948</v>
      </c>
      <c r="G83" s="8">
        <v>2.6154661178588867</v>
      </c>
      <c r="H83" s="8">
        <v>3.638324499130249</v>
      </c>
      <c r="I83" s="9">
        <v>2.156191349029541</v>
      </c>
      <c r="J83" s="9">
        <v>0.83114606142044067</v>
      </c>
      <c r="K83" s="10"/>
      <c r="L83" t="s">
        <v>108</v>
      </c>
      <c r="M83" s="1">
        <v>1</v>
      </c>
      <c r="N83" s="19">
        <f t="shared" ref="N83:N84" si="16">G83/AVERAGE(G$78:G$81)</f>
        <v>1.0322462993949089</v>
      </c>
      <c r="O83" s="19">
        <f t="shared" ref="O83:O84" si="17">D83/AVERAGE(D$78:D$81)</f>
        <v>1.0606485022436205</v>
      </c>
    </row>
    <row r="84" spans="1:15" ht="23" thickBot="1" x14ac:dyDescent="0.3">
      <c r="A84" s="17" t="s">
        <v>120</v>
      </c>
      <c r="B84" s="6" t="s">
        <v>98</v>
      </c>
      <c r="C84" s="7">
        <v>0.83681219816207886</v>
      </c>
      <c r="D84" s="8">
        <v>3.3270673751831055</v>
      </c>
      <c r="E84" s="8">
        <v>7.4328670501708984</v>
      </c>
      <c r="F84" s="8">
        <v>0.42789527773857117</v>
      </c>
      <c r="G84" s="8">
        <v>2.8991720676422119</v>
      </c>
      <c r="H84" s="8">
        <v>4.105799674987793</v>
      </c>
      <c r="I84" s="9">
        <v>2.2340595722198486</v>
      </c>
      <c r="J84" s="9">
        <v>0.87138962745666504</v>
      </c>
      <c r="K84" s="10"/>
      <c r="L84" t="s">
        <v>108</v>
      </c>
      <c r="M84" s="1">
        <v>1</v>
      </c>
      <c r="N84" s="19">
        <f t="shared" si="16"/>
        <v>1.1442165576905492</v>
      </c>
      <c r="O84" s="19">
        <f t="shared" si="17"/>
        <v>1.1214020148939592</v>
      </c>
    </row>
    <row r="85" spans="1:15" ht="23" thickBot="1" x14ac:dyDescent="0.3">
      <c r="A85" s="17" t="s">
        <v>120</v>
      </c>
      <c r="B85" s="11" t="s">
        <v>99</v>
      </c>
      <c r="C85" s="12">
        <v>0.80699563026428223</v>
      </c>
      <c r="D85" s="13">
        <v>3.0622820854187012</v>
      </c>
      <c r="E85" s="13">
        <v>6.4716629981994629</v>
      </c>
      <c r="F85" s="13">
        <v>0.46456819772720337</v>
      </c>
      <c r="G85" s="13">
        <v>2.5977139472961426</v>
      </c>
      <c r="H85" s="13">
        <v>3.4093809127807617</v>
      </c>
      <c r="I85" s="14">
        <v>2.1133465766906738</v>
      </c>
      <c r="J85" s="14">
        <v>0.8482934832572937</v>
      </c>
      <c r="K85" s="15"/>
      <c r="L85" t="s">
        <v>108</v>
      </c>
      <c r="M85" s="1">
        <v>1</v>
      </c>
      <c r="N85" s="19">
        <f>G85/AVERAGE(G$78:G$81)</f>
        <v>1.0252400482932424</v>
      </c>
      <c r="O85" s="19">
        <f>D85/AVERAGE(D$78:D$81)</f>
        <v>1.0321550222809099</v>
      </c>
    </row>
    <row r="86" spans="1:15" ht="19" customHeight="1" thickBot="1" x14ac:dyDescent="0.3">
      <c r="A86" s="17" t="s">
        <v>121</v>
      </c>
      <c r="B86" s="6" t="s">
        <v>100</v>
      </c>
      <c r="C86" s="7">
        <v>1.073628306388855</v>
      </c>
      <c r="D86" s="8">
        <v>4.2224302291870117</v>
      </c>
      <c r="E86" s="8">
        <v>2.9027936458587646</v>
      </c>
      <c r="F86" s="8">
        <v>0.43246391415596008</v>
      </c>
      <c r="G86" s="8">
        <v>3.789966344833374</v>
      </c>
      <c r="H86" s="8">
        <v>-1.3196365833282471</v>
      </c>
      <c r="I86" s="9">
        <v>0.68746989965438843</v>
      </c>
      <c r="J86" s="9">
        <v>0.8975793719291687</v>
      </c>
      <c r="K86" s="10"/>
      <c r="L86" t="s">
        <v>108</v>
      </c>
      <c r="M86" s="1">
        <v>0</v>
      </c>
      <c r="N86">
        <v>0</v>
      </c>
      <c r="O86">
        <v>0</v>
      </c>
    </row>
    <row r="87" spans="1:15" ht="23" thickBot="1" x14ac:dyDescent="0.3">
      <c r="A87" s="17" t="s">
        <v>121</v>
      </c>
      <c r="B87" s="6" t="s">
        <v>101</v>
      </c>
      <c r="C87" s="7">
        <v>1.2317144870758057</v>
      </c>
      <c r="D87" s="8">
        <v>4.8404555320739746</v>
      </c>
      <c r="E87" s="8">
        <v>3.6992099285125732</v>
      </c>
      <c r="F87" s="8">
        <v>0.75311368703842163</v>
      </c>
      <c r="G87" s="8">
        <v>4.0873417854309082</v>
      </c>
      <c r="H87" s="8">
        <v>-1.1412456035614014</v>
      </c>
      <c r="I87" s="9">
        <v>0.76422762870788574</v>
      </c>
      <c r="J87" s="9">
        <v>0.84441262483596802</v>
      </c>
      <c r="K87" s="10"/>
      <c r="L87" t="s">
        <v>108</v>
      </c>
      <c r="M87" s="1">
        <v>0</v>
      </c>
      <c r="N87">
        <v>0</v>
      </c>
      <c r="O87">
        <v>0</v>
      </c>
    </row>
    <row r="88" spans="1:15" ht="23" thickBot="1" x14ac:dyDescent="0.3">
      <c r="A88" s="17" t="s">
        <v>121</v>
      </c>
      <c r="B88" s="6" t="s">
        <v>102</v>
      </c>
      <c r="C88" s="7">
        <v>0.84297788143157959</v>
      </c>
      <c r="D88" s="8">
        <v>3.7781596183776855</v>
      </c>
      <c r="E88" s="8">
        <v>3.9631624221801758</v>
      </c>
      <c r="F88" s="8">
        <v>0.514362633228302</v>
      </c>
      <c r="G88" s="8">
        <v>3.2637970447540283</v>
      </c>
      <c r="H88" s="8">
        <v>0.18500280380249023</v>
      </c>
      <c r="I88" s="9">
        <v>1.0489664077758789</v>
      </c>
      <c r="J88" s="9">
        <v>0.86385893821716309</v>
      </c>
      <c r="K88" s="10"/>
      <c r="L88" t="s">
        <v>108</v>
      </c>
      <c r="M88" s="1">
        <v>0</v>
      </c>
      <c r="N88">
        <v>0</v>
      </c>
      <c r="O88">
        <v>0</v>
      </c>
    </row>
    <row r="89" spans="1:15" ht="23" thickBot="1" x14ac:dyDescent="0.3">
      <c r="A89" s="17" t="s">
        <v>121</v>
      </c>
      <c r="B89" s="11" t="s">
        <v>103</v>
      </c>
      <c r="C89" s="12">
        <v>0.90067249536514282</v>
      </c>
      <c r="D89" s="13">
        <v>3.867595911026001</v>
      </c>
      <c r="E89" s="13">
        <v>2.4692931175231934</v>
      </c>
      <c r="F89" s="13">
        <v>0.60184484720230103</v>
      </c>
      <c r="G89" s="13">
        <v>3.2657511234283447</v>
      </c>
      <c r="H89" s="13">
        <v>-1.3983027935028076</v>
      </c>
      <c r="I89" s="14">
        <v>0.63845688104629517</v>
      </c>
      <c r="J89" s="14">
        <v>0.84438788890838623</v>
      </c>
      <c r="K89" s="15"/>
      <c r="L89" t="s">
        <v>108</v>
      </c>
      <c r="M89" s="1">
        <v>0</v>
      </c>
      <c r="N89">
        <v>0</v>
      </c>
      <c r="O89">
        <v>0</v>
      </c>
    </row>
    <row r="90" spans="1:15" ht="19" customHeight="1" thickBot="1" x14ac:dyDescent="0.3">
      <c r="A90" s="17" t="s">
        <v>122</v>
      </c>
      <c r="B90" s="6" t="s">
        <v>104</v>
      </c>
      <c r="C90" s="7">
        <v>1.0270650386810303</v>
      </c>
      <c r="D90" s="8">
        <v>3.7087523937225342</v>
      </c>
      <c r="E90" s="8">
        <v>8.2531986236572266</v>
      </c>
      <c r="F90" s="8">
        <v>0.75932943820953369</v>
      </c>
      <c r="G90" s="8">
        <v>2.9494228363037109</v>
      </c>
      <c r="H90" s="8">
        <v>4.5444459915161133</v>
      </c>
      <c r="I90" s="9">
        <v>2.225330114364624</v>
      </c>
      <c r="J90" s="9">
        <v>0.79526013135910034</v>
      </c>
      <c r="K90" s="10"/>
      <c r="L90" t="s">
        <v>108</v>
      </c>
      <c r="M90" s="1">
        <v>1</v>
      </c>
      <c r="N90" s="19">
        <f>G90/AVERAGE(G$86:G$89)</f>
        <v>0.81889421958674413</v>
      </c>
      <c r="O90" s="19">
        <f>D90/AVERAGE(D$86:D$89)</f>
        <v>0.88786450776094183</v>
      </c>
    </row>
    <row r="91" spans="1:15" ht="23" thickBot="1" x14ac:dyDescent="0.3">
      <c r="A91" s="17" t="s">
        <v>122</v>
      </c>
      <c r="B91" s="6" t="s">
        <v>105</v>
      </c>
      <c r="C91" s="7">
        <v>0.85691040754318237</v>
      </c>
      <c r="D91" s="8">
        <v>3.2755212783813477</v>
      </c>
      <c r="E91" s="8">
        <v>7.5389409065246582</v>
      </c>
      <c r="F91" s="8">
        <v>0.5948183536529541</v>
      </c>
      <c r="G91" s="8">
        <v>2.6807029247283936</v>
      </c>
      <c r="H91" s="8">
        <v>4.2634196281433105</v>
      </c>
      <c r="I91" s="9">
        <v>2.301600456237793</v>
      </c>
      <c r="J91" s="9">
        <v>0.81840497255325317</v>
      </c>
      <c r="K91" s="10"/>
      <c r="L91" t="s">
        <v>108</v>
      </c>
      <c r="M91" s="1">
        <v>1</v>
      </c>
      <c r="N91" s="19">
        <f t="shared" ref="N91:N93" si="18">G91/AVERAGE(G$86:G$89)</f>
        <v>0.74428532337548936</v>
      </c>
      <c r="O91" s="19">
        <f t="shared" ref="O91:O92" si="19">D91/AVERAGE(D$86:D$89)</f>
        <v>0.78415024211727435</v>
      </c>
    </row>
    <row r="92" spans="1:15" ht="23" thickBot="1" x14ac:dyDescent="0.3">
      <c r="A92" s="17" t="s">
        <v>122</v>
      </c>
      <c r="B92" s="6" t="s">
        <v>106</v>
      </c>
      <c r="C92" s="7">
        <v>0.88818103075027466</v>
      </c>
      <c r="D92" s="8">
        <v>3.3671140670776367</v>
      </c>
      <c r="E92" s="8">
        <v>7.7649197578430176</v>
      </c>
      <c r="F92" s="8">
        <v>0.53198647499084473</v>
      </c>
      <c r="G92" s="8">
        <v>2.835127592086792</v>
      </c>
      <c r="H92" s="8">
        <v>4.3978056907653809</v>
      </c>
      <c r="I92" s="9">
        <v>2.306105375289917</v>
      </c>
      <c r="J92" s="9">
        <v>0.84200519323348999</v>
      </c>
      <c r="K92" s="10"/>
      <c r="L92" t="s">
        <v>108</v>
      </c>
      <c r="M92" s="1">
        <v>1</v>
      </c>
      <c r="N92" s="19">
        <f t="shared" si="18"/>
        <v>0.78716065000036817</v>
      </c>
      <c r="O92" s="19">
        <f t="shared" si="19"/>
        <v>0.80607728863241213</v>
      </c>
    </row>
    <row r="93" spans="1:15" ht="23" thickBot="1" x14ac:dyDescent="0.3">
      <c r="A93" s="17" t="s">
        <v>122</v>
      </c>
      <c r="B93" s="11" t="s">
        <v>107</v>
      </c>
      <c r="C93" s="12">
        <v>0.8568732738494873</v>
      </c>
      <c r="D93" s="13">
        <v>3.1391465663909912</v>
      </c>
      <c r="E93" s="13">
        <v>7.7362957000732422</v>
      </c>
      <c r="F93" s="13">
        <v>0.27585279941558838</v>
      </c>
      <c r="G93" s="13">
        <v>2.8632936477661133</v>
      </c>
      <c r="H93" s="13">
        <v>4.5971488952636719</v>
      </c>
      <c r="I93" s="14">
        <v>2.4644582271575928</v>
      </c>
      <c r="J93" s="14">
        <v>0.9121248722076416</v>
      </c>
      <c r="K93" s="15"/>
      <c r="L93" t="s">
        <v>108</v>
      </c>
      <c r="M93" s="1">
        <v>1</v>
      </c>
      <c r="N93" s="19">
        <f t="shared" si="18"/>
        <v>0.79498083091863225</v>
      </c>
      <c r="O93" s="19">
        <f>D93/AVERAGE(D$86:D$89)</f>
        <v>0.75150253375655907</v>
      </c>
    </row>
    <row r="94" spans="1:15" x14ac:dyDescent="0.25">
      <c r="N94" s="19"/>
      <c r="O9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2026-08-31T14:02:49Z</dcterms:created>
  <dcterms:modified xsi:type="dcterms:W3CDTF">2026-09-09T18:46:32Z</dcterms:modified>
</cp:coreProperties>
</file>